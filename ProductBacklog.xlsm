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2400" windowWidth="15360" windowHeight="5235" firstSheet="1" activeTab="2"/>
  </bookViews>
  <sheets>
    <sheet name="README" sheetId="15" state="hidden" r:id="rId1"/>
    <sheet name="BACKLOG" sheetId="1" r:id="rId2"/>
    <sheet name="STATISTICS" sheetId="95" r:id="rId3"/>
    <sheet name="CARDS" sheetId="229" r:id="rId4"/>
    <sheet name="TEMPLATE" sheetId="2" r:id="rId5"/>
  </sheets>
  <definedNames>
    <definedName name="_xlnm._FilterDatabase" localSheetId="1" hidden="1">BACKLOG!$A$1:$I$1</definedName>
    <definedName name="_xlnm._FilterDatabase" localSheetId="2" hidden="1">STATISTICS!$A$1:$D$1</definedName>
    <definedName name="_xlnm.Print_Area" localSheetId="1">BACKLOG!$A:$E</definedName>
    <definedName name="_xlnm.Print_Area" localSheetId="2">STATISTICS!$A$1:$D$13</definedName>
  </definedNames>
  <calcPr calcId="125725"/>
</workbook>
</file>

<file path=xl/calcChain.xml><?xml version="1.0" encoding="utf-8"?>
<calcChain xmlns="http://schemas.openxmlformats.org/spreadsheetml/2006/main">
  <c r="E3" i="95"/>
  <c r="E4"/>
  <c r="E5"/>
  <c r="E6"/>
  <c r="E7"/>
  <c r="E8"/>
  <c r="E9"/>
  <c r="E11"/>
  <c r="M1"/>
  <c r="G2"/>
  <c r="G3"/>
  <c r="G4"/>
  <c r="G5"/>
  <c r="G6"/>
  <c r="G7"/>
  <c r="G8"/>
  <c r="G9"/>
  <c r="G10"/>
  <c r="G11"/>
  <c r="G12"/>
  <c r="G13"/>
  <c r="F2"/>
  <c r="F3"/>
  <c r="F4"/>
  <c r="F5"/>
  <c r="F6"/>
  <c r="F7"/>
  <c r="F8"/>
  <c r="F9"/>
  <c r="F10"/>
  <c r="F11"/>
  <c r="F12"/>
  <c r="F13"/>
  <c r="E2"/>
  <c r="E10"/>
  <c r="E12"/>
  <c r="E13"/>
  <c r="I2" l="1"/>
  <c r="I3" s="1"/>
  <c r="J2"/>
  <c r="J3" s="1"/>
  <c r="J4" s="1"/>
  <c r="J5" s="1"/>
  <c r="J6" s="1"/>
  <c r="J7" s="1"/>
  <c r="J8" s="1"/>
  <c r="J9" s="1"/>
  <c r="J10" s="1"/>
  <c r="J11" s="1"/>
  <c r="J12" s="1"/>
  <c r="J13" s="1"/>
  <c r="H2" l="1"/>
  <c r="H3"/>
  <c r="I4"/>
  <c r="H4" l="1"/>
  <c r="I5"/>
  <c r="H5" l="1"/>
  <c r="I6"/>
  <c r="I7" l="1"/>
  <c r="H6"/>
  <c r="H7" l="1"/>
  <c r="I8"/>
  <c r="H8" l="1"/>
  <c r="I9"/>
  <c r="H9" l="1"/>
  <c r="I10"/>
  <c r="I11" l="1"/>
  <c r="H10"/>
  <c r="H11" l="1"/>
  <c r="I12"/>
  <c r="I13" l="1"/>
  <c r="H13" s="1"/>
  <c r="H12"/>
</calcChain>
</file>

<file path=xl/comments1.xml><?xml version="1.0" encoding="utf-8"?>
<comments xmlns="http://schemas.openxmlformats.org/spreadsheetml/2006/main">
  <authors>
    <author>Henrik</author>
    <author>adprieto</author>
  </authors>
  <commentList>
    <comment ref="A1" authorId="0">
      <text>
        <r>
          <rPr>
            <sz val="8"/>
            <color indexed="81"/>
            <rFont val="Tahoma"/>
            <family val="2"/>
          </rPr>
          <t>Prioridad: Valor alto equivale a mayor importancia.</t>
        </r>
      </text>
    </comment>
    <comment ref="C1" authorId="1">
      <text>
        <r>
          <rPr>
            <b/>
            <sz val="9"/>
            <color indexed="81"/>
            <rFont val="Tahoma"/>
            <family val="2"/>
          </rPr>
          <t>adprieto:</t>
        </r>
        <r>
          <rPr>
            <sz val="9"/>
            <color indexed="81"/>
            <rFont val="Tahoma"/>
            <family val="2"/>
          </rPr>
          <t xml:space="preserve">
Los usuarios son:
1. Cliente.
2. Vigilante.
3. Operador del aeropuerto.</t>
        </r>
      </text>
    </comment>
  </commentList>
</comments>
</file>

<file path=xl/sharedStrings.xml><?xml version="1.0" encoding="utf-8"?>
<sst xmlns="http://schemas.openxmlformats.org/spreadsheetml/2006/main" count="132" uniqueCount="100">
  <si>
    <t>Importancia</t>
  </si>
  <si>
    <t>Estimación</t>
  </si>
  <si>
    <t>Sprint</t>
  </si>
  <si>
    <t>Descripción y notas</t>
  </si>
  <si>
    <t>Tests de aceptación</t>
  </si>
  <si>
    <t>Descripción de la historia de usuario y notas adicionales.</t>
  </si>
  <si>
    <t>Descripción de los tests de aceptación a pasar para considerar la historia de usuario terminada.</t>
  </si>
  <si>
    <t>Título de la historia de usuario</t>
  </si>
  <si>
    <t>Prioridad</t>
  </si>
  <si>
    <t>Título</t>
  </si>
  <si>
    <t>Sprint terminado</t>
  </si>
  <si>
    <t>Sprint comprometido</t>
  </si>
  <si>
    <t>Fecha de inicio</t>
  </si>
  <si>
    <t>Fecha de finalización</t>
  </si>
  <si>
    <t>Duración efectiva en días laborables</t>
  </si>
  <si>
    <t>Estimación de puntos</t>
  </si>
  <si>
    <t>Sprint en que se ha añadido</t>
  </si>
  <si>
    <t>Sprint en que se ha eliminado</t>
  </si>
  <si>
    <t>Puntos / sprint</t>
  </si>
  <si>
    <t>Puntos añadidos</t>
  </si>
  <si>
    <t>Puntos eliminados</t>
  </si>
  <si>
    <t>Puntos inciales:</t>
  </si>
  <si>
    <t>Puntos por variación en las historias</t>
  </si>
  <si>
    <t>Puntos restantes</t>
  </si>
  <si>
    <t>Puntos restantes respecto inicio</t>
  </si>
  <si>
    <t>Documento de Análisis</t>
  </si>
  <si>
    <t>* Generación de documento no formal de arquitectura a alto nivel.</t>
  </si>
  <si>
    <t>Como desarrollador quiero tener bien definida la arquitectura básica a alto nivel y las herramientas principales que se van a utilizar para no perder la vista del objetivo principal del proyecto</t>
  </si>
  <si>
    <t>Interfaces</t>
  </si>
  <si>
    <t>Como instructor quiero que las comunicaciones entre los sistemas se realice en tiempo real como uno de los puntos para garantizar el entrenamiento veraz.</t>
  </si>
  <si>
    <t xml:space="preserve">* Generación de documento de interfaces entre módulos que se anexará al de arquitectura
</t>
  </si>
  <si>
    <t>Como desarrollador quiero poder insertar un modelo simple de UAV en el simulador para ayudar a definir el método de carga de modelos físicos.</t>
  </si>
  <si>
    <t>* Generación clara de entradas y salidas de los modelos en matlab simulink para su fácil integración con el modulo. Añadir a doc de arquitectura.
* Spike de integración de módulo de Matlab-Simulink en un programa en código c++ que permita variar datos de entrada y muestre los datos de salida.</t>
  </si>
  <si>
    <t>Modelos Matlab-Simulink</t>
  </si>
  <si>
    <t>Como desarrollador quiero un módulo central capaz de cambiar y monitorizar el estado del modelo.</t>
  </si>
  <si>
    <t>Makeup de Core de simulador I</t>
  </si>
  <si>
    <t>Integración GCS I</t>
  </si>
  <si>
    <t>* Se ve la telemetría en las GCS.
* No hay retraso perceptible en la recepción de los datos.</t>
  </si>
  <si>
    <t>Integración GCS II</t>
  </si>
  <si>
    <t>Como instructor quiero que las GCS establezcan un plan de vuelo para la misión simulada.</t>
  </si>
  <si>
    <t>Entono de desarrollo I</t>
  </si>
  <si>
    <t>* Desarrollo usando metodologías ágiles como:
  - TDD
  - IC
* Repositorio Mercurial para proyecto
* Entorno de IC configurado para el simulador
* Analizador estático de código configurado, Klocwork,  para el simulador.
* Estructura de proyecto y CMAKE
* Configuración doxygen
* Página de la catepdia que linka con documentación autogenerada de código</t>
  </si>
  <si>
    <t>Entono de desarrollo II</t>
  </si>
  <si>
    <t>Como cliente quiero que el desarrollo del simulador se lleve usando las herramientas y metodologías necesarias para augurar el éxito en el desarrollo del proyecto</t>
  </si>
  <si>
    <t>Como cliente quiero que el desarrollo del puesto de instructor se lleve usando las herramientas y metodologías necesarias para augurar el éxito en el desarrollo del proyecto</t>
  </si>
  <si>
    <t>* Desarrollo usando metodologías ágiles como:
  - TDD
  - IC
* Repositorio Mercurial para proyecto (puede ser el mismo que el simulador)
* Entorno de IC configurado.
* Analizador estático de código configurado, Sónar, para puesto de instructor)
* Estructura de proyecto y MAVEN
* Configuración doxygen
* Página de la catepdia que linka con documentación autogenerada de código</t>
  </si>
  <si>
    <t>Inicio de misión</t>
  </si>
  <si>
    <t>Como instructor quiero poder iniciar la simulación para tener control de la misión.</t>
  </si>
  <si>
    <t>* La aplicación tiene un botón o similar desde donde se puede comandar el inicio de la misión.
* El core de simulación inicia la simulación al llegarle en comando.</t>
  </si>
  <si>
    <t>Como instructor quiero poder parar la simulación para tener control de la misión.</t>
  </si>
  <si>
    <t>* La aplicación tiene un botón o similar desde donde se puede comandar la parada de la misión.
* El core de simulación para la simulación al llegarle en comando.
* Al dar el botón de iniciar, empieza de nuevo.</t>
  </si>
  <si>
    <t>* La aplicación tiene un botón o similar desde donde se puede comandar la pausa de la misión.
* El core de simulación pausa la simulación al llegarle en comando.
* Al dar el botón de iniciar, la simulación continua por donde estaba.</t>
  </si>
  <si>
    <t>Como instructor quiero poder pausar la simulación para tener control de la misión.</t>
  </si>
  <si>
    <t>Pausar de misión</t>
  </si>
  <si>
    <t>Parada de misión</t>
  </si>
  <si>
    <t>Como instructor quiero introducir fallos de pérdida total de comunicación para poner a prueba al alumno</t>
  </si>
  <si>
    <t>Fallos en el sistema I</t>
  </si>
  <si>
    <t>* Se puede comandar el fallo desde el puesto de instructor.
* Las GCS reciben alarma cuando el Instructor comanda el fallo.
* Se corta la recepción de datos a la GCS .
* Se puede reanudar las comunicaciones desde el puesto de instructor durante el transcurso de la misión.
* Al iniciar la misión, los fallos están desactivados.</t>
  </si>
  <si>
    <t>Como instructor quiero crear misiones para tener una batería de exámenes</t>
  </si>
  <si>
    <t>TBC</t>
  </si>
  <si>
    <t>Crear misiones</t>
  </si>
  <si>
    <t>Como instructor quiero visualizar las GCS para tener controlado al alumno</t>
  </si>
  <si>
    <t>Visualizar GCS</t>
  </si>
  <si>
    <t>Grabar Misiones</t>
  </si>
  <si>
    <t>Como instructor quiero grabar misiones que he generado en las GCS para poner a prueba al alumno en diferentes contextos.</t>
  </si>
  <si>
    <t>Cargar Misiones</t>
  </si>
  <si>
    <t>Como instructor quiero cargar misiones que he generado en las GCS para poner a prueba al alumno en diferentes contextos.</t>
  </si>
  <si>
    <t>Instalables y manuales</t>
  </si>
  <si>
    <t>Como instalador quiero que el sistema completo sea sencillo de administrar en instalar.</t>
  </si>
  <si>
    <t>* Paquete de instalables: despliegue con maven del puesto de instructor en servidor web y .debs para los módulos y el core de simulación.
* Manual de instalación</t>
  </si>
  <si>
    <t>Manual de usuario</t>
  </si>
  <si>
    <t>* Manual de usuario</t>
  </si>
  <si>
    <t>Como Instructor, quiero tener aceso a informaciónn que me indique, paso a paso, el funcionamiento del puesto de instructor.</t>
  </si>
  <si>
    <t>Como instructor quiero tomar y guardar anotaciones sobre el examen de un alumno para posterior evaluación</t>
  </si>
  <si>
    <t>Notas en puesto instructor</t>
  </si>
  <si>
    <t>Como isntructor quiero elegir un UAV para la misión con el objetivo de evaluar al alumno en un UAV concreto.</t>
  </si>
  <si>
    <t>Elección de modelo de UAV</t>
  </si>
  <si>
    <t>Condiciones de entorno</t>
  </si>
  <si>
    <t>Como instructor quiero cambiar las condiciones del entorno (lluvia, viento…) para poner a prueba al alumno</t>
  </si>
  <si>
    <t>Como instructor quiero que el modelo del UAV sea lo más real posible para garantizar los conocimiento del alumno</t>
  </si>
  <si>
    <t>Modelo Realista UAV</t>
  </si>
  <si>
    <t>Como Instructor quiero almacenar/ consultar resultados de las pruebas para posterior evaluación o consulta a histórico del alumno.</t>
  </si>
  <si>
    <t>Resultados de pruebas</t>
  </si>
  <si>
    <t>* El SIMModel recibe los datos de misión de DDS através del SIMCore.
* El SIMModel gestiona la misión para que se inyecten al modelo, uno por uno, los waypoints, generandose una pequeña capa de navegación.</t>
  </si>
  <si>
    <t>Gestión de carga de waypoints en SimModel</t>
  </si>
  <si>
    <t>Módulo Dummy de GCS</t>
  </si>
  <si>
    <t>Como desarrollador quiero un módulo que emule las GCS en el envío y recepción de datos para no depender de las GCS a la hora de desarrollar el resto de módulos y tener así el bucle completo cerrado GCS-SIMCore-SIMModel.</t>
  </si>
  <si>
    <t>* GCSDummy emula la carga de misión de un conjunto de puntos fijos, enviando los waypoints cuando correspondan al SIMCore
* GCSDummy recibirán datos de estado del UAV y los imprimirán en pantalla o algo molón que represente los datos.</t>
  </si>
  <si>
    <t>Como instructor quiero que las GCS visualicen la telemetría del UAV simulado para tener control de la misión.</t>
  </si>
  <si>
    <t>Como cliente quiero que el modelo contemple la carga de los datos de misión utilizados en el protocolo Mavlink.</t>
  </si>
  <si>
    <t>* El SIMCore recibe los datos de SIMModel y GCS y los reenvía, haciendo de puente usando ANIMO.
* Transforma el dato I_Position enviado desde SIMModel a UAV_State, para que la GCS tenga los datos necesarios siguendo el protocolo MavLink.</t>
  </si>
  <si>
    <t>Framewok de simulación</t>
  </si>
  <si>
    <t>Como desarrollador quiero que el módulo central esté sincronizado con el modelo para asegurar que los datos son coherentes</t>
  </si>
  <si>
    <t>* Se envía el estado del modelo cada x HZ, siendo x una medida configurada de antemano. Los HZ del modelo pueden ser menores al de SimCore, pero debe de estar gestionado cuando debe mandarse uno nuevo.
* El SimCore mandará cada x Hz el nuevo paso de simulación, si todos los demás módulos han enviado sus datos para el paso actual.
* Si el SimCore no recibe respuesta en un tiempo prudente, volverá a mandar el SimStep. Si aún así, en varios intentos no se han recibido los datos, dejará constancia del error y seguirá con la simulación, utilizando los datos que tuviera anteriormente.--Esto lo hace mavlink
* El SimCore solo actualiza los datos que le lleguen de otros módulos cuando su timestamp sea el del paso de simulación  actual. Si no, se descarta, dejando constancia en el log.
* El sistema, en general, está sincronizado a los HZ a los que esté configurado el SimCore, logeandose cualquier irregularidad que ocurra (retrasos, perdidas de conexión…)</t>
  </si>
  <si>
    <t>Integración de modelo complejo</t>
  </si>
  <si>
    <t>* Nuevo SimLocomoveModel que integre el modelo y autopiloto de ASNT.
*Ampliar SimCore con los datos nuevos provenientes del modelo.
*Si es necesario, añadir información al plugin GCS.
* Al enviar una ruta de WP desde el simulador de GCS o las mismas GCS, este hace un recorrido realista.</t>
  </si>
  <si>
    <t>* Las GCS envían un plan de vuelo válido al core del simulador y se ejecuta, siguendo el UAV simulado la ruta indicada.
* Se usa la beaglebone como autopiloto</t>
  </si>
  <si>
    <t>Módulo de UDP Bridge en SIMCORE</t>
  </si>
  <si>
    <t>* Como instructor quiero usar el autopiloto real para realizar el entrenamiento y exámen.</t>
  </si>
  <si>
    <t>* Se reciben los datos de telemetría por UDP y se portan a DDS.
* Se envían la misión por UDP al autopiloto.
* Demo con todo corriendo (GCS, SIMCORE y AUTOPILOTO).</t>
  </si>
</sst>
</file>

<file path=xl/styles.xml><?xml version="1.0" encoding="utf-8"?>
<styleSheet xmlns="http://schemas.openxmlformats.org/spreadsheetml/2006/main">
  <numFmts count="1">
    <numFmt numFmtId="164" formatCode="0.0"/>
  </numFmts>
  <fonts count="13">
    <font>
      <sz val="10"/>
      <name val="Arial"/>
    </font>
    <font>
      <b/>
      <sz val="12"/>
      <name val="Arial"/>
      <family val="2"/>
    </font>
    <font>
      <sz val="10"/>
      <color indexed="55"/>
      <name val="Arial"/>
      <family val="2"/>
    </font>
    <font>
      <sz val="10"/>
      <name val="Arial"/>
      <family val="2"/>
    </font>
    <font>
      <sz val="10"/>
      <color indexed="18"/>
      <name val="Arial"/>
      <family val="2"/>
    </font>
    <font>
      <b/>
      <sz val="18"/>
      <name val="Arial"/>
      <family val="2"/>
    </font>
    <font>
      <sz val="26"/>
      <name val="Arial"/>
      <family val="2"/>
    </font>
    <font>
      <b/>
      <sz val="12"/>
      <color theme="0"/>
      <name val="Arial"/>
      <family val="2"/>
    </font>
    <font>
      <sz val="8"/>
      <color indexed="81"/>
      <name val="Tahoma"/>
      <family val="2"/>
    </font>
    <font>
      <b/>
      <sz val="10"/>
      <name val="Arial"/>
      <family val="2"/>
    </font>
    <font>
      <u/>
      <sz val="10"/>
      <name val="Arial"/>
      <family val="2"/>
    </font>
    <font>
      <b/>
      <sz val="9"/>
      <color indexed="81"/>
      <name val="Tahoma"/>
      <family val="2"/>
    </font>
    <font>
      <sz val="9"/>
      <color indexed="81"/>
      <name val="Tahoma"/>
      <family val="2"/>
    </font>
  </fonts>
  <fills count="3">
    <fill>
      <patternFill patternType="none"/>
    </fill>
    <fill>
      <patternFill patternType="gray125"/>
    </fill>
    <fill>
      <patternFill patternType="solid">
        <fgColor theme="3" tint="0.7999816888943144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
    <xf numFmtId="0" fontId="0" fillId="0" borderId="0"/>
  </cellStyleXfs>
  <cellXfs count="48">
    <xf numFmtId="0" fontId="0" fillId="0" borderId="0" xfId="0"/>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applyAlignment="1">
      <alignment vertical="top" wrapText="1"/>
    </xf>
    <xf numFmtId="0" fontId="3" fillId="0" borderId="0" xfId="0" applyNumberFormat="1" applyFont="1" applyFill="1" applyBorder="1" applyAlignment="1">
      <alignment horizontal="left" vertical="top" wrapText="1"/>
    </xf>
    <xf numFmtId="0" fontId="5" fillId="0" borderId="0" xfId="0" applyFont="1" applyBorder="1" applyAlignment="1">
      <alignment vertical="top" wrapText="1"/>
    </xf>
    <xf numFmtId="0" fontId="3" fillId="0" borderId="0" xfId="0" applyFont="1" applyBorder="1" applyAlignment="1">
      <alignment horizontal="left" vertical="top" wrapText="1"/>
    </xf>
    <xf numFmtId="0" fontId="0" fillId="0" borderId="0" xfId="0" applyAlignment="1">
      <alignment vertical="top" wrapText="1"/>
    </xf>
    <xf numFmtId="1" fontId="2" fillId="0" borderId="0" xfId="0" applyNumberFormat="1" applyFont="1" applyBorder="1" applyAlignment="1">
      <alignment horizontal="left" vertical="top" wrapText="1"/>
    </xf>
    <xf numFmtId="0" fontId="6" fillId="0" borderId="9" xfId="0" applyFont="1" applyBorder="1" applyAlignment="1">
      <alignment vertical="top" wrapText="1"/>
    </xf>
    <xf numFmtId="0" fontId="6" fillId="0" borderId="9" xfId="0" applyFont="1" applyBorder="1" applyAlignment="1">
      <alignment vertical="top"/>
    </xf>
    <xf numFmtId="0" fontId="3" fillId="0" borderId="0" xfId="0" applyFont="1" applyFill="1" applyBorder="1" applyAlignment="1">
      <alignment horizontal="right" vertical="top" wrapText="1"/>
    </xf>
    <xf numFmtId="1" fontId="1" fillId="0" borderId="0" xfId="0" applyNumberFormat="1" applyFont="1" applyFill="1" applyBorder="1" applyAlignment="1">
      <alignment horizontal="left" wrapText="1"/>
    </xf>
    <xf numFmtId="0" fontId="1" fillId="0" borderId="0" xfId="0" applyNumberFormat="1" applyFont="1" applyFill="1" applyBorder="1" applyAlignment="1">
      <alignment horizontal="left" wrapText="1"/>
    </xf>
    <xf numFmtId="1" fontId="7" fillId="0" borderId="0" xfId="0" applyNumberFormat="1" applyFont="1" applyFill="1" applyBorder="1" applyAlignment="1">
      <alignment horizontal="left" wrapText="1"/>
    </xf>
    <xf numFmtId="164" fontId="7" fillId="0" borderId="0" xfId="0" applyNumberFormat="1" applyFont="1" applyFill="1" applyBorder="1" applyAlignment="1">
      <alignment horizontal="left" wrapText="1"/>
    </xf>
    <xf numFmtId="164" fontId="3" fillId="0" borderId="0" xfId="0" applyNumberFormat="1" applyFont="1" applyFill="1" applyBorder="1" applyAlignment="1">
      <alignment horizontal="right" vertical="top" wrapText="1"/>
    </xf>
    <xf numFmtId="0" fontId="3" fillId="0" borderId="0" xfId="0" applyNumberFormat="1" applyFont="1" applyFill="1" applyBorder="1" applyAlignment="1">
      <alignment horizontal="center" vertical="top" wrapText="1"/>
    </xf>
    <xf numFmtId="0" fontId="3" fillId="0" borderId="0" xfId="0" applyFont="1" applyBorder="1" applyAlignment="1">
      <alignment horizontal="center" vertical="top" wrapText="1"/>
    </xf>
    <xf numFmtId="0" fontId="3" fillId="0" borderId="0" xfId="0" applyFont="1" applyBorder="1"/>
    <xf numFmtId="0" fontId="3" fillId="0" borderId="0" xfId="0" applyNumberFormat="1" applyFont="1" applyFill="1" applyBorder="1" applyAlignment="1">
      <alignment horizontal="right" vertical="top" wrapText="1"/>
    </xf>
    <xf numFmtId="1" fontId="2" fillId="0" borderId="0" xfId="0" applyNumberFormat="1" applyFont="1" applyBorder="1" applyAlignment="1">
      <alignment vertical="top" wrapText="1"/>
    </xf>
    <xf numFmtId="0" fontId="0" fillId="0" borderId="0" xfId="0" applyFont="1" applyBorder="1" applyAlignment="1">
      <alignment horizontal="left" vertical="top" wrapText="1"/>
    </xf>
    <xf numFmtId="1" fontId="0" fillId="0" borderId="0" xfId="0" applyNumberFormat="1" applyFont="1" applyFill="1" applyBorder="1" applyAlignment="1">
      <alignment horizontal="right" vertical="top" wrapText="1"/>
    </xf>
    <xf numFmtId="164" fontId="0" fillId="0" borderId="0" xfId="0" applyNumberFormat="1" applyFont="1" applyFill="1" applyBorder="1" applyAlignment="1">
      <alignment horizontal="right" vertical="top" wrapText="1"/>
    </xf>
    <xf numFmtId="0" fontId="0" fillId="0" borderId="0" xfId="0" applyNumberFormat="1" applyFont="1" applyFill="1" applyBorder="1" applyAlignment="1">
      <alignment horizontal="right" vertical="top" wrapText="1"/>
    </xf>
    <xf numFmtId="0" fontId="0" fillId="0" borderId="0" xfId="0" applyNumberFormat="1" applyFont="1" applyFill="1" applyBorder="1" applyAlignment="1">
      <alignment horizontal="center" vertical="top" wrapText="1"/>
    </xf>
    <xf numFmtId="1" fontId="3" fillId="0" borderId="0" xfId="0" applyNumberFormat="1" applyFont="1" applyFill="1" applyBorder="1" applyAlignment="1">
      <alignment horizontal="right" vertical="top" wrapText="1"/>
    </xf>
    <xf numFmtId="0" fontId="3" fillId="0" borderId="0" xfId="0" applyFont="1" applyBorder="1" applyAlignment="1">
      <alignment horizontal="right" vertical="top" wrapText="1"/>
    </xf>
    <xf numFmtId="14" fontId="0" fillId="0" borderId="0" xfId="0" applyNumberFormat="1" applyFont="1" applyFill="1" applyBorder="1" applyAlignment="1">
      <alignment horizontal="right" vertical="top" wrapText="1"/>
    </xf>
    <xf numFmtId="0" fontId="9" fillId="2" borderId="0" xfId="0" applyNumberFormat="1" applyFont="1" applyFill="1" applyBorder="1" applyAlignment="1">
      <alignment horizontal="left" vertical="top" wrapText="1"/>
    </xf>
    <xf numFmtId="0" fontId="3" fillId="2" borderId="0" xfId="0" applyNumberFormat="1" applyFont="1" applyFill="1" applyBorder="1" applyAlignment="1">
      <alignment horizontal="left" vertical="top" wrapText="1"/>
    </xf>
    <xf numFmtId="14" fontId="3" fillId="0" borderId="0" xfId="0" applyNumberFormat="1" applyFont="1" applyFill="1" applyBorder="1" applyAlignment="1">
      <alignment horizontal="right" vertical="top" wrapText="1"/>
    </xf>
    <xf numFmtId="14" fontId="4" fillId="0" borderId="0" xfId="0" applyNumberFormat="1" applyFont="1" applyFill="1" applyBorder="1" applyAlignment="1">
      <alignment horizontal="right" vertical="top" wrapText="1"/>
    </xf>
    <xf numFmtId="0" fontId="3" fillId="0" borderId="0" xfId="0" applyNumberFormat="1" applyFont="1" applyFill="1" applyAlignment="1">
      <alignment horizontal="right" vertical="top" wrapText="1"/>
    </xf>
    <xf numFmtId="0" fontId="0" fillId="0" borderId="0" xfId="0" applyNumberFormat="1" applyFont="1" applyFill="1" applyBorder="1" applyAlignment="1" applyProtection="1">
      <alignment horizontal="right" vertical="top" wrapText="1"/>
    </xf>
    <xf numFmtId="0" fontId="0" fillId="0" borderId="0" xfId="0" applyNumberFormat="1" applyFont="1" applyFill="1" applyAlignment="1">
      <alignment horizontal="right" vertical="top" wrapText="1"/>
    </xf>
    <xf numFmtId="0" fontId="0" fillId="0" borderId="0" xfId="0" applyNumberFormat="1" applyFill="1" applyBorder="1" applyAlignment="1">
      <alignment horizontal="left" vertical="top" wrapText="1"/>
    </xf>
    <xf numFmtId="0" fontId="10" fillId="0" borderId="0" xfId="0" applyNumberFormat="1" applyFont="1" applyFill="1" applyAlignment="1">
      <alignment horizontal="righ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cellXfs>
  <cellStyles count="1">
    <cellStyle name="Normal" xfId="0" builtinId="0"/>
  </cellStyles>
  <dxfs count="23">
    <dxf>
      <font>
        <b val="0"/>
        <i val="0"/>
        <strike val="0"/>
        <condense val="0"/>
        <extend val="0"/>
        <outline val="0"/>
        <shadow val="0"/>
        <u val="none"/>
        <vertAlign val="baseline"/>
        <sz val="10"/>
        <color auto="1"/>
        <name val="Arial"/>
        <scheme val="none"/>
      </font>
      <numFmt numFmtId="0" formatCode="General"/>
      <alignment horizontal="right" vertical="top" textRotation="0" wrapText="1" indent="0" relativeIndent="255"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right" vertical="top" textRotation="0" wrapText="1" indent="0" relativeIndent="255" justifyLastLine="0" shrinkToFit="0" mergeCell="0" readingOrder="0"/>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alignment horizontal="general"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alignment horizontal="left" vertical="top" textRotation="0" wrapText="1" indent="0" relativeIndent="0" justifyLastLine="0" shrinkToFit="0" mergeCell="0" readingOrder="0"/>
    </dxf>
    <dxf>
      <font>
        <b/>
        <i val="0"/>
        <strike val="0"/>
        <condense val="0"/>
        <extend val="0"/>
        <outline val="0"/>
        <shadow val="0"/>
        <u val="none"/>
        <vertAlign val="baseline"/>
        <sz val="12"/>
        <color auto="1"/>
        <name val="Arial"/>
        <scheme val="none"/>
      </font>
      <numFmt numFmtId="0" formatCode="General"/>
      <fill>
        <patternFill patternType="none">
          <fgColor indexed="64"/>
          <bgColor indexed="65"/>
        </patternFill>
      </fill>
      <alignment horizontal="left" vertical="bottom"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right" vertical="top" textRotation="0" wrapText="1" indent="0" relativeIndent="255" justifyLastLine="0" shrinkToFit="0" mergeCell="0" readingOrder="0"/>
    </dxf>
    <dxf>
      <font>
        <b val="0"/>
        <i val="0"/>
        <strike val="0"/>
        <condense val="0"/>
        <extend val="0"/>
        <outline val="0"/>
        <shadow val="0"/>
        <u val="none"/>
        <vertAlign val="baseline"/>
        <sz val="10"/>
        <color auto="1"/>
        <name val="Arial"/>
        <scheme val="none"/>
      </font>
      <alignment horizontal="lef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alignment horizontal="lef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alignment horizontal="lef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right" vertical="top" textRotation="0" wrapText="1" indent="0" relativeIndent="0" justifyLastLine="0" shrinkToFit="0" mergeCell="0" readingOrder="0"/>
    </dxf>
    <dxf>
      <font>
        <b val="0"/>
        <i val="0"/>
        <strike val="0"/>
        <condense val="0"/>
        <extend val="0"/>
        <outline val="0"/>
        <shadow val="0"/>
        <u val="none"/>
        <vertAlign val="baseline"/>
        <sz val="10"/>
        <color auto="1"/>
        <name val="Arial"/>
        <scheme val="none"/>
      </font>
      <alignment horizontal="left" vertical="top" textRotation="0" wrapText="1" indent="0" relativeIndent="0" justifyLastLine="0" shrinkToFit="0" mergeCell="0" readingOrder="0"/>
    </dxf>
    <dxf>
      <font>
        <b/>
        <i val="0"/>
        <strike val="0"/>
        <condense val="0"/>
        <extend val="0"/>
        <outline val="0"/>
        <shadow val="0"/>
        <u val="none"/>
        <vertAlign val="baseline"/>
        <sz val="12"/>
        <color auto="1"/>
        <name val="Arial"/>
        <scheme val="none"/>
      </font>
      <numFmt numFmtId="0" formatCode="General"/>
      <fill>
        <patternFill patternType="none">
          <fgColor indexed="64"/>
          <bgColor indexed="65"/>
        </patternFill>
      </fill>
      <alignment horizontal="left" vertical="bottom" textRotation="0" wrapText="1"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Evolución global</a:t>
            </a:r>
          </a:p>
        </c:rich>
      </c:tx>
      <c:layout/>
    </c:title>
    <c:plotArea>
      <c:layout/>
      <c:lineChart>
        <c:grouping val="standard"/>
        <c:ser>
          <c:idx val="1"/>
          <c:order val="0"/>
          <c:tx>
            <c:v>Puntos restantes respecto inicio</c:v>
          </c:tx>
          <c:val>
            <c:numRef>
              <c:f>STATISTICS!$I$2:$I$13</c:f>
              <c:numCache>
                <c:formatCode>0</c:formatCode>
                <c:ptCount val="12"/>
                <c:pt idx="0">
                  <c:v>155</c:v>
                </c:pt>
                <c:pt idx="1">
                  <c:v>144</c:v>
                </c:pt>
                <c:pt idx="2">
                  <c:v>128</c:v>
                </c:pt>
                <c:pt idx="3">
                  <c:v>120</c:v>
                </c:pt>
                <c:pt idx="4">
                  <c:v>120</c:v>
                </c:pt>
                <c:pt idx="5">
                  <c:v>113</c:v>
                </c:pt>
                <c:pt idx="6">
                  <c:v>100</c:v>
                </c:pt>
                <c:pt idx="7">
                  <c:v>95</c:v>
                </c:pt>
                <c:pt idx="8">
                  <c:v>95</c:v>
                </c:pt>
                <c:pt idx="9">
                  <c:v>95</c:v>
                </c:pt>
                <c:pt idx="10">
                  <c:v>95</c:v>
                </c:pt>
                <c:pt idx="11">
                  <c:v>95</c:v>
                </c:pt>
              </c:numCache>
            </c:numRef>
          </c:val>
        </c:ser>
        <c:ser>
          <c:idx val="2"/>
          <c:order val="1"/>
          <c:tx>
            <c:v>Puntos por variación en las historias</c:v>
          </c:tx>
          <c:val>
            <c:numRef>
              <c:f>STATISTICS!$J$2:$J$13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marker val="1"/>
        <c:axId val="49796608"/>
        <c:axId val="49798144"/>
      </c:lineChart>
      <c:catAx>
        <c:axId val="49796608"/>
        <c:scaling>
          <c:orientation val="minMax"/>
        </c:scaling>
        <c:axPos val="b"/>
        <c:tickLblPos val="nextTo"/>
        <c:crossAx val="49798144"/>
        <c:crosses val="autoZero"/>
        <c:auto val="1"/>
        <c:lblAlgn val="ctr"/>
        <c:lblOffset val="100"/>
      </c:catAx>
      <c:valAx>
        <c:axId val="49798144"/>
        <c:scaling>
          <c:orientation val="minMax"/>
        </c:scaling>
        <c:axPos val="l"/>
        <c:majorGridlines/>
        <c:numFmt formatCode="0" sourceLinked="1"/>
        <c:tickLblPos val="nextTo"/>
        <c:crossAx val="49796608"/>
        <c:crosses val="autoZero"/>
        <c:crossBetween val="between"/>
      </c:valAx>
    </c:plotArea>
    <c:legend>
      <c:legendPos val="r"/>
      <c:layout/>
    </c:legend>
    <c:plotVisOnly val="1"/>
  </c:chart>
  <c:printSettings>
    <c:headerFooter/>
    <c:pageMargins b="0.75000000000000733" l="0.70000000000000062" r="0.70000000000000062" t="0.750000000000007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Velocidad</a:t>
            </a:r>
          </a:p>
        </c:rich>
      </c:tx>
      <c:layout/>
    </c:title>
    <c:plotArea>
      <c:layout/>
      <c:lineChart>
        <c:grouping val="standard"/>
        <c:ser>
          <c:idx val="0"/>
          <c:order val="0"/>
          <c:tx>
            <c:v>Velocidad</c:v>
          </c:tx>
          <c:val>
            <c:numRef>
              <c:f>STATISTICS!$E$2:$E$13</c:f>
              <c:numCache>
                <c:formatCode>0</c:formatCode>
                <c:ptCount val="12"/>
                <c:pt idx="0">
                  <c:v>4</c:v>
                </c:pt>
                <c:pt idx="1">
                  <c:v>11</c:v>
                </c:pt>
                <c:pt idx="2">
                  <c:v>16</c:v>
                </c:pt>
                <c:pt idx="3">
                  <c:v>8</c:v>
                </c:pt>
                <c:pt idx="4">
                  <c:v>0</c:v>
                </c:pt>
                <c:pt idx="5">
                  <c:v>7</c:v>
                </c:pt>
                <c:pt idx="6">
                  <c:v>13</c:v>
                </c:pt>
                <c:pt idx="7">
                  <c:v>5</c:v>
                </c:pt>
                <c:pt idx="8">
                  <c:v>0</c:v>
                </c:pt>
                <c:pt idx="9">
                  <c:v>0</c:v>
                </c:pt>
                <c:pt idx="10">
                  <c:v>0</c:v>
                </c:pt>
                <c:pt idx="11">
                  <c:v>0</c:v>
                </c:pt>
              </c:numCache>
            </c:numRef>
          </c:val>
        </c:ser>
        <c:marker val="1"/>
        <c:axId val="55384704"/>
        <c:axId val="55419264"/>
      </c:lineChart>
      <c:catAx>
        <c:axId val="55384704"/>
        <c:scaling>
          <c:orientation val="minMax"/>
        </c:scaling>
        <c:axPos val="b"/>
        <c:tickLblPos val="nextTo"/>
        <c:crossAx val="55419264"/>
        <c:crosses val="autoZero"/>
        <c:auto val="1"/>
        <c:lblAlgn val="ctr"/>
        <c:lblOffset val="100"/>
      </c:catAx>
      <c:valAx>
        <c:axId val="55419264"/>
        <c:scaling>
          <c:orientation val="minMax"/>
        </c:scaling>
        <c:axPos val="l"/>
        <c:majorGridlines/>
        <c:numFmt formatCode="0" sourceLinked="1"/>
        <c:tickLblPos val="nextTo"/>
        <c:crossAx val="55384704"/>
        <c:crosses val="autoZero"/>
        <c:crossBetween val="between"/>
      </c:valAx>
    </c:plotArea>
    <c:legend>
      <c:legendPos val="r"/>
      <c:layout/>
    </c:legend>
    <c:plotVisOnly val="1"/>
  </c:chart>
  <c:printSettings>
    <c:headerFooter/>
    <c:pageMargins b="0.75000000000000711" l="0.70000000000000062" r="0.70000000000000062" t="0.75000000000000711"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247649</xdr:colOff>
      <xdr:row>1</xdr:row>
      <xdr:rowOff>95250</xdr:rowOff>
    </xdr:from>
    <xdr:to>
      <xdr:col>10</xdr:col>
      <xdr:colOff>542924</xdr:colOff>
      <xdr:row>30</xdr:row>
      <xdr:rowOff>47625</xdr:rowOff>
    </xdr:to>
    <xdr:sp macro="" textlink="">
      <xdr:nvSpPr>
        <xdr:cNvPr id="2" name="TextBox 1"/>
        <xdr:cNvSpPr txBox="1"/>
      </xdr:nvSpPr>
      <xdr:spPr>
        <a:xfrm>
          <a:off x="247649" y="257175"/>
          <a:ext cx="6391275" cy="464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sv-SE" sz="1400" b="1"/>
            <a:t>About</a:t>
          </a:r>
          <a:r>
            <a:rPr lang="sv-SE" sz="1400" b="1" baseline="0"/>
            <a:t> this tool</a:t>
          </a:r>
        </a:p>
        <a:p>
          <a:endParaRPr lang="sv-SE" sz="1100" b="1" baseline="0"/>
        </a:p>
        <a:p>
          <a:r>
            <a:rPr lang="sv-SE" sz="1100" b="0" baseline="0"/>
            <a:t>This is a simple &amp; flexible tool for housing a Scrum product backlog. </a:t>
          </a:r>
        </a:p>
        <a:p>
          <a:r>
            <a:rPr lang="sv-SE" sz="1100" b="0" baseline="0"/>
            <a:t>The main feature is that includes a "generate index cards" button.</a:t>
          </a:r>
        </a:p>
        <a:p>
          <a:endParaRPr lang="sv-SE" sz="1100" b="0" baseline="0"/>
        </a:p>
        <a:p>
          <a:r>
            <a:rPr lang="sv-SE" sz="1100" b="0" baseline="0"/>
            <a:t>This tool was created by Stefan Nijenhuis, with minor tweaks by me.</a:t>
          </a:r>
        </a:p>
        <a:p>
          <a:endParaRPr lang="sv-SE" sz="1100" b="0" baseline="0"/>
        </a:p>
        <a:p>
          <a:r>
            <a:rPr lang="sv-SE" sz="1100" b="0" baseline="0"/>
            <a:t>The design of this tool and the index cards is based on my book "Scrum and XP from the Trenches", and the first version of the index card generator on my blog (http://blog.crisp.se/henrikkniberg)</a:t>
          </a:r>
        </a:p>
        <a:p>
          <a:r>
            <a:rPr lang="sv-SE" sz="1100" b="0" baseline="0"/>
            <a:t>To learn more about the intended usage of this tool, see the chapter on product backlogs.</a:t>
          </a:r>
        </a:p>
        <a:p>
          <a:r>
            <a:rPr lang="sv-SE" sz="1100" b="0" baseline="0"/>
            <a:t>http://www.crisp.se/henrik.kniberg/ScrumAndXpFromTheTrenches.html</a:t>
          </a:r>
        </a:p>
        <a:p>
          <a:endParaRPr lang="sv-SE" sz="1100" b="0" baseline="0"/>
        </a:p>
        <a:p>
          <a:r>
            <a:rPr lang="sv-SE" sz="1100" b="0" baseline="0"/>
            <a:t>Feel free to use and modify this tool as you wish. </a:t>
          </a:r>
        </a:p>
        <a:p>
          <a:endParaRPr lang="sv-SE" sz="1100" b="0" baseline="0"/>
        </a:p>
        <a:p>
          <a:r>
            <a:rPr lang="sv-SE" sz="1100" b="1" baseline="0"/>
            <a:t>Worksheets</a:t>
          </a:r>
        </a:p>
        <a:p>
          <a:r>
            <a:rPr lang="sv-SE" sz="1100" b="1" baseline="0"/>
            <a:t>  BACKLOG</a:t>
          </a:r>
          <a:r>
            <a:rPr lang="sv-SE" sz="1100" b="0" baseline="0"/>
            <a:t> = the actual product backlog. Add columns as you like. </a:t>
          </a:r>
        </a:p>
        <a:p>
          <a:r>
            <a:rPr lang="sv-SE" sz="1100" b="1" baseline="0"/>
            <a:t>  CARDS</a:t>
          </a:r>
          <a:r>
            <a:rPr lang="sv-SE" sz="1100" b="0" baseline="0"/>
            <a:t> = index cards appear here when you press "generate index cards" on the BACKLOG worksheet.</a:t>
          </a:r>
        </a:p>
        <a:p>
          <a:r>
            <a:rPr lang="sv-SE" sz="1100" b="1" baseline="0"/>
            <a:t>  TEMPLATE</a:t>
          </a:r>
          <a:r>
            <a:rPr lang="sv-SE" sz="1100" b="0" baseline="0"/>
            <a:t> = play with this to change the appearance of the generated index cards.</a:t>
          </a:r>
        </a:p>
        <a:p>
          <a:endParaRPr lang="sv-SE" sz="1100" b="0" baseline="0"/>
        </a:p>
        <a:p>
          <a:r>
            <a:rPr lang="sv-SE" sz="1100" b="0" baseline="0"/>
            <a:t>If you make any significant improvements or bugfixes (while still keeping it simple) I'd appreciate if you email me at henrik.kniberg @crisp.se so that I can spread it to the community.</a:t>
          </a:r>
        </a:p>
        <a:p>
          <a:endParaRPr lang="sv-SE" sz="1100" b="0" baseline="0"/>
        </a:p>
        <a:p>
          <a:r>
            <a:rPr lang="sv-SE" sz="1100" b="0" baseline="0"/>
            <a:t>Thanks Stefan for implementing this!</a:t>
          </a:r>
        </a:p>
        <a:p>
          <a:endParaRPr lang="sv-SE" sz="1100" b="0" baseline="0"/>
        </a:p>
        <a:p>
          <a:r>
            <a:rPr lang="sv-SE" sz="1100" b="0" baseline="0"/>
            <a:t>/Henrik Kniberg 2007-12-13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257175</xdr:colOff>
      <xdr:row>7</xdr:row>
      <xdr:rowOff>19051</xdr:rowOff>
    </xdr:from>
    <xdr:to>
      <xdr:col>19</xdr:col>
      <xdr:colOff>323850</xdr:colOff>
      <xdr:row>12</xdr:row>
      <xdr:rowOff>400051</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1</xdr:row>
      <xdr:rowOff>66675</xdr:rowOff>
    </xdr:from>
    <xdr:to>
      <xdr:col>19</xdr:col>
      <xdr:colOff>323850</xdr:colOff>
      <xdr:row>6</xdr:row>
      <xdr:rowOff>428625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2" name="Tabla2" displayName="Tabla2" ref="A1:I46" totalsRowShown="0" headerRowDxfId="22" dataDxfId="21">
  <autoFilter ref="A1:I46">
    <filterColumn colId="5"/>
    <filterColumn colId="6"/>
    <filterColumn colId="7"/>
    <filterColumn colId="8"/>
  </autoFilter>
  <sortState ref="A10:I45">
    <sortCondition descending="1" ref="A1:A45"/>
  </sortState>
  <tableColumns count="9">
    <tableColumn id="2" name="Prioridad" dataDxfId="20"/>
    <tableColumn id="3" name="Título" dataDxfId="19"/>
    <tableColumn id="4" name="Descripción y notas" dataDxfId="18"/>
    <tableColumn id="5" name="Tests de aceptación" dataDxfId="17"/>
    <tableColumn id="6" name="Estimación de puntos" dataDxfId="16"/>
    <tableColumn id="9" name="Sprint comprometido" dataDxfId="15"/>
    <tableColumn id="11" name="Sprint terminado" dataDxfId="14"/>
    <tableColumn id="12" name="Sprint en que se ha añadido" dataDxfId="13"/>
    <tableColumn id="10" name="Sprint en que se ha eliminado" dataDxfId="12"/>
  </tableColumns>
  <tableStyleInfo name="TableStyleMedium9" showFirstColumn="0" showLastColumn="0" showRowStripes="1" showColumnStripes="0"/>
</table>
</file>

<file path=xl/tables/table2.xml><?xml version="1.0" encoding="utf-8"?>
<table xmlns="http://schemas.openxmlformats.org/spreadsheetml/2006/main" id="1" name="Tabla22" displayName="Tabla22" ref="A1:J13" totalsRowShown="0" headerRowDxfId="11" dataDxfId="10">
  <autoFilter ref="A1:J13">
    <filterColumn colId="2"/>
    <filterColumn colId="4"/>
    <filterColumn colId="5"/>
    <filterColumn colId="6"/>
    <filterColumn colId="7"/>
    <filterColumn colId="8"/>
    <filterColumn colId="9"/>
  </autoFilter>
  <sortState ref="A2:G76">
    <sortCondition ref="A1:A76"/>
  </sortState>
  <tableColumns count="10">
    <tableColumn id="1" name="Sprint" dataDxfId="9"/>
    <tableColumn id="2" name="Duración efectiva en días laborables" dataDxfId="8"/>
    <tableColumn id="3" name="Fecha de inicio" dataDxfId="7"/>
    <tableColumn id="6" name="Fecha de finalización" dataDxfId="6"/>
    <tableColumn id="4" name="Puntos / sprint" dataDxfId="5">
      <calculatedColumnFormula>SUMIF(Tabla2[Sprint terminado],Tabla22[[#This Row],[Sprint]],Tabla2[Estimación de puntos])</calculatedColumnFormula>
    </tableColumn>
    <tableColumn id="5" name="Puntos añadidos" dataDxfId="4">
      <calculatedColumnFormula>SUMIF(Tabla2[Sprint en que se ha añadido],Tabla22[[#This Row],[Sprint]],Tabla2[Estimación de puntos])</calculatedColumnFormula>
    </tableColumn>
    <tableColumn id="7" name="Puntos eliminados" dataDxfId="3">
      <calculatedColumnFormula>SUMIF(Tabla2[Sprint en que se ha eliminado],Tabla22[[#This Row],[Sprint]],Tabla2[Estimación de puntos])</calculatedColumnFormula>
    </tableColumn>
    <tableColumn id="10" name="Puntos restantes" dataDxfId="2">
      <calculatedColumnFormula>Tabla22[[#This Row],[Puntos restantes respecto inicio]]-Tabla22[[#This Row],[Puntos por variación en las historias]]</calculatedColumnFormula>
    </tableColumn>
    <tableColumn id="9" name="Puntos restantes respecto inicio" dataDxfId="1"/>
    <tableColumn id="8" name="Puntos por variación en las historias" dataDxfId="0">
      <calculatedColumnFormula>SUMIF(Tabla2[Sprint en que se ha añadido],A1,Tabla2[Estimación de puntos])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1"/>
  <dimension ref="A1"/>
  <sheetViews>
    <sheetView workbookViewId="0">
      <selection activeCell="M7" sqref="M7"/>
    </sheetView>
  </sheetViews>
  <sheetFormatPr baseColWidth="10" defaultColWidth="9.140625" defaultRowHeight="12.75"/>
  <sheetData/>
  <phoneticPr fontId="0"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sheetPr codeName="Sheet1"/>
  <dimension ref="A1:J46"/>
  <sheetViews>
    <sheetView zoomScaleNormal="100" workbookViewId="0">
      <pane xSplit="2" ySplit="1" topLeftCell="C11" activePane="bottomRight" state="frozen"/>
      <selection pane="topRight" activeCell="D1" sqref="D1"/>
      <selection pane="bottomLeft" activeCell="A2" sqref="A2"/>
      <selection pane="bottomRight" activeCell="G17" sqref="G17"/>
    </sheetView>
  </sheetViews>
  <sheetFormatPr baseColWidth="10" defaultColWidth="9.140625" defaultRowHeight="37.5" customHeight="1"/>
  <cols>
    <col min="1" max="1" width="13.7109375" style="18" customWidth="1"/>
    <col min="2" max="2" width="50.42578125" style="13" customWidth="1"/>
    <col min="3" max="3" width="76.85546875" style="13" customWidth="1"/>
    <col min="4" max="4" width="51.140625" style="13" customWidth="1"/>
    <col min="5" max="5" width="16" style="23" customWidth="1"/>
    <col min="6" max="9" width="21.42578125" style="23" customWidth="1"/>
    <col min="10" max="10" width="13.5703125" style="25" customWidth="1"/>
    <col min="11" max="11" width="11.85546875" style="13" customWidth="1"/>
    <col min="12" max="16384" width="9.140625" style="13"/>
  </cols>
  <sheetData>
    <row r="1" spans="1:10" s="20" customFormat="1" ht="37.5" customHeight="1">
      <c r="A1" s="21" t="s">
        <v>8</v>
      </c>
      <c r="B1" s="20" t="s">
        <v>9</v>
      </c>
      <c r="C1" s="20" t="s">
        <v>3</v>
      </c>
      <c r="D1" s="20" t="s">
        <v>4</v>
      </c>
      <c r="E1" s="22" t="s">
        <v>15</v>
      </c>
      <c r="F1" s="22" t="s">
        <v>11</v>
      </c>
      <c r="G1" s="22" t="s">
        <v>10</v>
      </c>
      <c r="H1" s="22" t="s">
        <v>16</v>
      </c>
      <c r="I1" s="22" t="s">
        <v>17</v>
      </c>
    </row>
    <row r="2" spans="1:10" s="11" customFormat="1" ht="140.25">
      <c r="A2" s="34">
        <v>9990</v>
      </c>
      <c r="B2" s="11" t="s">
        <v>40</v>
      </c>
      <c r="C2" s="11" t="s">
        <v>43</v>
      </c>
      <c r="D2" s="11" t="s">
        <v>41</v>
      </c>
      <c r="E2" s="27">
        <v>2</v>
      </c>
      <c r="F2" s="41">
        <v>1</v>
      </c>
      <c r="G2" s="41">
        <v>1</v>
      </c>
      <c r="H2" s="41"/>
      <c r="I2" s="41"/>
      <c r="J2" s="24"/>
    </row>
    <row r="3" spans="1:10" s="11" customFormat="1" ht="38.25">
      <c r="A3" s="34">
        <v>9980</v>
      </c>
      <c r="B3" s="11" t="s">
        <v>25</v>
      </c>
      <c r="C3" s="11" t="s">
        <v>27</v>
      </c>
      <c r="D3" s="11" t="s">
        <v>26</v>
      </c>
      <c r="E3" s="27">
        <v>2</v>
      </c>
      <c r="F3" s="41">
        <v>1</v>
      </c>
      <c r="G3" s="41">
        <v>1</v>
      </c>
      <c r="H3" s="41"/>
      <c r="I3" s="41"/>
      <c r="J3" s="24"/>
    </row>
    <row r="4" spans="1:10" s="11" customFormat="1" ht="38.25">
      <c r="A4" s="34">
        <v>9890</v>
      </c>
      <c r="B4" s="11" t="s">
        <v>28</v>
      </c>
      <c r="C4" s="11" t="s">
        <v>29</v>
      </c>
      <c r="D4" s="11" t="s">
        <v>30</v>
      </c>
      <c r="E4" s="27">
        <v>3</v>
      </c>
      <c r="F4" s="41">
        <v>1</v>
      </c>
      <c r="G4" s="41">
        <v>2</v>
      </c>
      <c r="H4" s="41"/>
      <c r="I4" s="41"/>
      <c r="J4" s="24"/>
    </row>
    <row r="5" spans="1:10" s="11" customFormat="1" ht="76.5">
      <c r="A5" s="34">
        <v>9880</v>
      </c>
      <c r="B5" s="11" t="s">
        <v>33</v>
      </c>
      <c r="C5" s="11" t="s">
        <v>31</v>
      </c>
      <c r="D5" s="11" t="s">
        <v>32</v>
      </c>
      <c r="E5" s="27">
        <v>3</v>
      </c>
      <c r="F5" s="41">
        <v>2</v>
      </c>
      <c r="G5" s="41">
        <v>2</v>
      </c>
      <c r="H5" s="41"/>
      <c r="I5" s="41"/>
      <c r="J5" s="24"/>
    </row>
    <row r="6" spans="1:10" s="11" customFormat="1" ht="63.75">
      <c r="A6" s="34">
        <v>9790</v>
      </c>
      <c r="B6" s="11" t="s">
        <v>35</v>
      </c>
      <c r="C6" s="11" t="s">
        <v>34</v>
      </c>
      <c r="D6" s="11" t="s">
        <v>90</v>
      </c>
      <c r="E6" s="27">
        <v>5</v>
      </c>
      <c r="F6" s="41">
        <v>2</v>
      </c>
      <c r="G6" s="41">
        <v>2</v>
      </c>
      <c r="H6" s="41"/>
      <c r="I6" s="41"/>
      <c r="J6" s="24"/>
    </row>
    <row r="7" spans="1:10" s="11" customFormat="1" ht="76.5">
      <c r="A7" s="34">
        <v>9780</v>
      </c>
      <c r="B7" s="11" t="s">
        <v>85</v>
      </c>
      <c r="C7" s="11" t="s">
        <v>86</v>
      </c>
      <c r="D7" s="11" t="s">
        <v>87</v>
      </c>
      <c r="E7" s="27">
        <v>3</v>
      </c>
      <c r="F7" s="41">
        <v>3</v>
      </c>
      <c r="G7" s="41">
        <v>3</v>
      </c>
      <c r="H7" s="41"/>
      <c r="I7" s="41"/>
      <c r="J7" s="24"/>
    </row>
    <row r="8" spans="1:10" s="11" customFormat="1" ht="63.75">
      <c r="A8" s="34">
        <v>9785</v>
      </c>
      <c r="B8" s="11" t="s">
        <v>84</v>
      </c>
      <c r="C8" s="11" t="s">
        <v>89</v>
      </c>
      <c r="D8" s="11" t="s">
        <v>83</v>
      </c>
      <c r="E8" s="27">
        <v>5</v>
      </c>
      <c r="F8" s="41">
        <v>3</v>
      </c>
      <c r="G8" s="41">
        <v>3</v>
      </c>
      <c r="H8" s="41"/>
      <c r="I8" s="41"/>
      <c r="J8" s="24"/>
    </row>
    <row r="9" spans="1:10" s="11" customFormat="1" ht="242.25">
      <c r="A9" s="34">
        <v>9775</v>
      </c>
      <c r="B9" s="11" t="s">
        <v>91</v>
      </c>
      <c r="C9" s="11" t="s">
        <v>92</v>
      </c>
      <c r="D9" s="11" t="s">
        <v>93</v>
      </c>
      <c r="E9" s="27">
        <v>8</v>
      </c>
      <c r="F9" s="41">
        <v>3</v>
      </c>
      <c r="G9" s="41">
        <v>3</v>
      </c>
      <c r="H9" s="41"/>
      <c r="I9" s="41"/>
      <c r="J9" s="24"/>
    </row>
    <row r="10" spans="1:10" s="11" customFormat="1" ht="25.5">
      <c r="A10" s="30">
        <v>9770</v>
      </c>
      <c r="B10" s="11" t="s">
        <v>36</v>
      </c>
      <c r="C10" s="11" t="s">
        <v>88</v>
      </c>
      <c r="D10" s="11" t="s">
        <v>37</v>
      </c>
      <c r="E10" s="32">
        <v>5</v>
      </c>
      <c r="F10" s="43">
        <v>4</v>
      </c>
      <c r="G10" s="43">
        <v>6</v>
      </c>
      <c r="H10" s="43"/>
      <c r="I10" s="43"/>
      <c r="J10" s="24"/>
    </row>
    <row r="11" spans="1:10" s="11" customFormat="1" ht="89.25">
      <c r="A11" s="34">
        <v>9760</v>
      </c>
      <c r="B11" s="11" t="s">
        <v>94</v>
      </c>
      <c r="C11" s="11" t="s">
        <v>79</v>
      </c>
      <c r="D11" s="11" t="s">
        <v>95</v>
      </c>
      <c r="E11" s="27">
        <v>8</v>
      </c>
      <c r="F11" s="41">
        <v>4</v>
      </c>
      <c r="G11" s="41">
        <v>4</v>
      </c>
      <c r="H11" s="41"/>
      <c r="I11" s="41"/>
      <c r="J11" s="24"/>
    </row>
    <row r="12" spans="1:10" s="11" customFormat="1" ht="153">
      <c r="A12" s="30">
        <v>9755</v>
      </c>
      <c r="B12" s="11" t="s">
        <v>42</v>
      </c>
      <c r="C12" s="11" t="s">
        <v>44</v>
      </c>
      <c r="D12" s="11" t="s">
        <v>45</v>
      </c>
      <c r="E12" s="27">
        <v>2</v>
      </c>
      <c r="F12" s="43">
        <v>4</v>
      </c>
      <c r="G12" s="43">
        <v>6</v>
      </c>
      <c r="H12" s="43"/>
      <c r="I12" s="43"/>
      <c r="J12" s="24"/>
    </row>
    <row r="13" spans="1:10" s="11" customFormat="1" ht="63.75">
      <c r="A13" s="34">
        <v>9754</v>
      </c>
      <c r="B13" s="11" t="s">
        <v>97</v>
      </c>
      <c r="C13" s="11" t="s">
        <v>98</v>
      </c>
      <c r="D13" s="11" t="s">
        <v>99</v>
      </c>
      <c r="E13" s="27">
        <v>8</v>
      </c>
      <c r="F13" s="41">
        <v>7</v>
      </c>
      <c r="G13" s="41"/>
      <c r="H13" s="41"/>
      <c r="I13" s="41"/>
      <c r="J13" s="24"/>
    </row>
    <row r="14" spans="1:10" s="11" customFormat="1" ht="51">
      <c r="A14" s="30">
        <v>9750</v>
      </c>
      <c r="B14" s="11" t="s">
        <v>38</v>
      </c>
      <c r="C14" s="11" t="s">
        <v>39</v>
      </c>
      <c r="D14" s="11" t="s">
        <v>96</v>
      </c>
      <c r="E14" s="32">
        <v>8</v>
      </c>
      <c r="F14" s="43">
        <v>7</v>
      </c>
      <c r="G14" s="43"/>
      <c r="H14" s="43"/>
      <c r="I14" s="43"/>
      <c r="J14" s="24"/>
    </row>
    <row r="15" spans="1:10" s="11" customFormat="1" ht="51">
      <c r="A15" s="34">
        <v>9680</v>
      </c>
      <c r="B15" s="11" t="s">
        <v>46</v>
      </c>
      <c r="C15" s="11" t="s">
        <v>47</v>
      </c>
      <c r="D15" s="11" t="s">
        <v>48</v>
      </c>
      <c r="E15" s="27">
        <v>8</v>
      </c>
      <c r="F15" s="41">
        <v>6</v>
      </c>
      <c r="G15" s="41">
        <v>7</v>
      </c>
      <c r="H15" s="41"/>
      <c r="I15" s="41"/>
      <c r="J15" s="24"/>
    </row>
    <row r="16" spans="1:10" s="11" customFormat="1" ht="63.75">
      <c r="A16" s="34">
        <v>9670</v>
      </c>
      <c r="B16" s="11" t="s">
        <v>54</v>
      </c>
      <c r="C16" s="11" t="s">
        <v>49</v>
      </c>
      <c r="D16" s="11" t="s">
        <v>50</v>
      </c>
      <c r="E16" s="27">
        <v>5</v>
      </c>
      <c r="F16" s="41">
        <v>7</v>
      </c>
      <c r="G16" s="41">
        <v>8</v>
      </c>
      <c r="H16" s="41"/>
      <c r="I16" s="41"/>
      <c r="J16" s="24"/>
    </row>
    <row r="17" spans="1:10" s="11" customFormat="1" ht="76.5">
      <c r="A17" s="34">
        <v>9660</v>
      </c>
      <c r="B17" s="11" t="s">
        <v>53</v>
      </c>
      <c r="C17" s="11" t="s">
        <v>52</v>
      </c>
      <c r="D17" s="11" t="s">
        <v>51</v>
      </c>
      <c r="E17" s="27">
        <v>5</v>
      </c>
      <c r="F17" s="41">
        <v>6</v>
      </c>
      <c r="G17" s="41">
        <v>7</v>
      </c>
      <c r="H17" s="41"/>
      <c r="I17" s="41"/>
      <c r="J17" s="24"/>
    </row>
    <row r="18" spans="1:10" s="11" customFormat="1" ht="89.25">
      <c r="A18" s="34">
        <v>9650</v>
      </c>
      <c r="B18" s="11" t="s">
        <v>56</v>
      </c>
      <c r="C18" s="11" t="s">
        <v>55</v>
      </c>
      <c r="D18" s="11" t="s">
        <v>57</v>
      </c>
      <c r="E18" s="27">
        <v>8</v>
      </c>
      <c r="F18" s="41"/>
      <c r="G18" s="41"/>
      <c r="H18" s="41"/>
      <c r="I18" s="41"/>
      <c r="J18" s="24"/>
    </row>
    <row r="19" spans="1:10" s="11" customFormat="1" ht="12.75">
      <c r="A19" s="30">
        <v>9590</v>
      </c>
      <c r="B19" s="11" t="s">
        <v>62</v>
      </c>
      <c r="C19" s="44" t="s">
        <v>61</v>
      </c>
      <c r="D19" s="11" t="s">
        <v>59</v>
      </c>
      <c r="E19" s="32">
        <v>5</v>
      </c>
      <c r="F19" s="43"/>
      <c r="G19" s="43"/>
      <c r="H19" s="43"/>
      <c r="I19" s="43"/>
      <c r="J19" s="24"/>
    </row>
    <row r="20" spans="1:10" s="11" customFormat="1" ht="12.75">
      <c r="A20" s="30">
        <v>9580</v>
      </c>
      <c r="B20" s="11" t="s">
        <v>60</v>
      </c>
      <c r="C20" s="11" t="s">
        <v>58</v>
      </c>
      <c r="D20" s="11" t="s">
        <v>59</v>
      </c>
      <c r="E20" s="32">
        <v>2</v>
      </c>
      <c r="F20" s="43"/>
      <c r="G20" s="43"/>
      <c r="H20" s="43"/>
      <c r="I20" s="43"/>
      <c r="J20" s="24"/>
    </row>
    <row r="21" spans="1:10" s="11" customFormat="1" ht="25.5">
      <c r="A21" s="30">
        <v>9570</v>
      </c>
      <c r="B21" s="11" t="s">
        <v>63</v>
      </c>
      <c r="C21" s="11" t="s">
        <v>64</v>
      </c>
      <c r="D21" s="11" t="s">
        <v>59</v>
      </c>
      <c r="E21" s="32">
        <v>5</v>
      </c>
      <c r="F21" s="43"/>
      <c r="G21" s="43"/>
      <c r="H21" s="43"/>
      <c r="I21" s="43"/>
      <c r="J21" s="24"/>
    </row>
    <row r="22" spans="1:10" s="11" customFormat="1" ht="25.5">
      <c r="A22" s="30">
        <v>9560</v>
      </c>
      <c r="B22" s="11" t="s">
        <v>65</v>
      </c>
      <c r="C22" s="11" t="s">
        <v>66</v>
      </c>
      <c r="D22" s="11" t="s">
        <v>59</v>
      </c>
      <c r="E22" s="32">
        <v>2</v>
      </c>
      <c r="F22" s="43"/>
      <c r="G22" s="43"/>
      <c r="H22" s="43"/>
      <c r="I22" s="43"/>
      <c r="J22" s="24"/>
    </row>
    <row r="23" spans="1:10" s="11" customFormat="1" ht="51">
      <c r="A23" s="30">
        <v>9490</v>
      </c>
      <c r="B23" s="11" t="s">
        <v>67</v>
      </c>
      <c r="C23" s="11" t="s">
        <v>68</v>
      </c>
      <c r="D23" s="11" t="s">
        <v>69</v>
      </c>
      <c r="E23" s="32"/>
      <c r="F23" s="43"/>
      <c r="G23" s="43"/>
      <c r="H23" s="43"/>
      <c r="I23" s="43"/>
      <c r="J23" s="24"/>
    </row>
    <row r="24" spans="1:10" s="11" customFormat="1" ht="25.5">
      <c r="A24" s="34">
        <v>9480</v>
      </c>
      <c r="B24" s="11" t="s">
        <v>70</v>
      </c>
      <c r="C24" s="11" t="s">
        <v>72</v>
      </c>
      <c r="D24" s="11" t="s">
        <v>71</v>
      </c>
      <c r="E24" s="27">
        <v>1</v>
      </c>
      <c r="F24" s="41"/>
      <c r="G24" s="41"/>
      <c r="H24" s="41"/>
      <c r="I24" s="41"/>
      <c r="J24" s="33"/>
    </row>
    <row r="25" spans="1:10" s="11" customFormat="1" ht="25.5">
      <c r="A25" s="34">
        <v>8990</v>
      </c>
      <c r="B25" s="11" t="s">
        <v>80</v>
      </c>
      <c r="C25" s="11" t="s">
        <v>79</v>
      </c>
      <c r="D25" s="11" t="s">
        <v>59</v>
      </c>
      <c r="E25" s="27">
        <v>20</v>
      </c>
      <c r="F25" s="41"/>
      <c r="G25" s="45"/>
      <c r="H25" s="41"/>
      <c r="I25" s="41"/>
      <c r="J25" s="24"/>
    </row>
    <row r="26" spans="1:10" s="11" customFormat="1" ht="25.5">
      <c r="A26" s="34">
        <v>8980</v>
      </c>
      <c r="B26" s="11" t="s">
        <v>77</v>
      </c>
      <c r="C26" s="11" t="s">
        <v>78</v>
      </c>
      <c r="D26" s="11" t="s">
        <v>59</v>
      </c>
      <c r="E26" s="27">
        <v>20</v>
      </c>
      <c r="F26" s="41"/>
      <c r="G26" s="41"/>
      <c r="H26" s="41"/>
      <c r="I26" s="41"/>
      <c r="J26" s="24"/>
    </row>
    <row r="27" spans="1:10" s="11" customFormat="1" ht="25.5">
      <c r="A27" s="34">
        <v>8970</v>
      </c>
      <c r="B27" s="11" t="s">
        <v>76</v>
      </c>
      <c r="C27" s="11" t="s">
        <v>75</v>
      </c>
      <c r="D27" s="11" t="s">
        <v>59</v>
      </c>
      <c r="E27" s="27">
        <v>8</v>
      </c>
      <c r="F27" s="41"/>
      <c r="G27" s="41"/>
      <c r="H27" s="41"/>
      <c r="I27" s="41"/>
      <c r="J27" s="33"/>
    </row>
    <row r="28" spans="1:10" s="11" customFormat="1" ht="25.5">
      <c r="A28" s="34">
        <v>8960</v>
      </c>
      <c r="B28" s="11" t="s">
        <v>82</v>
      </c>
      <c r="C28" s="11" t="s">
        <v>81</v>
      </c>
      <c r="D28" s="11" t="s">
        <v>59</v>
      </c>
      <c r="E28" s="27">
        <v>5</v>
      </c>
      <c r="F28" s="41"/>
      <c r="G28" s="41"/>
      <c r="H28" s="41"/>
      <c r="I28" s="41"/>
      <c r="J28" s="33"/>
    </row>
    <row r="29" spans="1:10" s="11" customFormat="1" ht="25.5">
      <c r="A29" s="34">
        <v>8950</v>
      </c>
      <c r="B29" s="11" t="s">
        <v>74</v>
      </c>
      <c r="C29" s="11" t="s">
        <v>73</v>
      </c>
      <c r="D29" s="11" t="s">
        <v>59</v>
      </c>
      <c r="E29" s="27">
        <v>3</v>
      </c>
      <c r="F29" s="41"/>
      <c r="G29" s="41"/>
      <c r="H29" s="41"/>
      <c r="I29" s="41"/>
      <c r="J29" s="33"/>
    </row>
    <row r="30" spans="1:10" s="11" customFormat="1" ht="12.75">
      <c r="A30" s="34"/>
      <c r="B30" s="13"/>
      <c r="C30" s="13"/>
      <c r="E30" s="27"/>
      <c r="F30" s="42"/>
      <c r="G30" s="42"/>
      <c r="H30" s="42"/>
      <c r="I30" s="42"/>
      <c r="J30" s="24"/>
    </row>
    <row r="31" spans="1:10" s="11" customFormat="1" ht="12.75">
      <c r="A31" s="34"/>
      <c r="E31" s="27"/>
      <c r="F31" s="41"/>
      <c r="G31" s="41"/>
      <c r="H31" s="41"/>
      <c r="I31" s="41"/>
      <c r="J31" s="24"/>
    </row>
    <row r="32" spans="1:10" s="11" customFormat="1" ht="12.75">
      <c r="A32" s="34"/>
      <c r="E32" s="27"/>
      <c r="F32" s="41"/>
      <c r="G32" s="41"/>
      <c r="H32" s="41"/>
      <c r="I32" s="41"/>
      <c r="J32" s="24"/>
    </row>
    <row r="33" spans="1:10" s="11" customFormat="1" ht="12.75">
      <c r="A33" s="34"/>
      <c r="B33" s="13"/>
      <c r="C33" s="13"/>
      <c r="E33" s="27"/>
      <c r="F33" s="32"/>
      <c r="G33" s="32"/>
      <c r="H33" s="32"/>
      <c r="I33" s="32"/>
      <c r="J33" s="24"/>
    </row>
    <row r="34" spans="1:10" s="11" customFormat="1" ht="12.75">
      <c r="A34" s="34"/>
      <c r="B34" s="13"/>
      <c r="C34" s="13"/>
      <c r="D34" s="13"/>
      <c r="E34" s="27"/>
      <c r="F34" s="32"/>
      <c r="G34" s="32"/>
      <c r="H34" s="32"/>
      <c r="I34" s="32"/>
      <c r="J34" s="24"/>
    </row>
    <row r="35" spans="1:10" s="11" customFormat="1" ht="12.75">
      <c r="A35" s="34"/>
      <c r="B35" s="13"/>
      <c r="C35" s="13"/>
      <c r="D35" s="13"/>
      <c r="E35" s="27"/>
      <c r="F35" s="32"/>
      <c r="G35" s="32"/>
      <c r="H35" s="32"/>
      <c r="I35" s="32"/>
      <c r="J35" s="24"/>
    </row>
    <row r="36" spans="1:10" s="11" customFormat="1" ht="12.75">
      <c r="A36" s="34"/>
      <c r="E36" s="27"/>
      <c r="F36" s="41"/>
      <c r="G36" s="41"/>
      <c r="H36" s="41"/>
      <c r="I36" s="41"/>
      <c r="J36" s="25"/>
    </row>
    <row r="37" spans="1:10" s="11" customFormat="1" ht="12.75">
      <c r="A37" s="30"/>
      <c r="B37" s="44"/>
      <c r="C37" s="44"/>
      <c r="D37" s="44"/>
      <c r="E37" s="32"/>
      <c r="F37" s="43"/>
      <c r="G37" s="43"/>
      <c r="H37" s="43"/>
      <c r="I37" s="43"/>
      <c r="J37" s="25"/>
    </row>
    <row r="38" spans="1:10" s="11" customFormat="1" ht="12.75">
      <c r="A38" s="34"/>
      <c r="E38" s="27"/>
      <c r="F38" s="41"/>
      <c r="G38" s="41"/>
      <c r="H38" s="41"/>
      <c r="I38" s="41"/>
      <c r="J38" s="25"/>
    </row>
    <row r="39" spans="1:10" s="11" customFormat="1" ht="12.75">
      <c r="A39" s="34"/>
      <c r="E39" s="27"/>
      <c r="F39" s="41"/>
      <c r="G39" s="41"/>
      <c r="H39" s="41"/>
      <c r="I39" s="41"/>
      <c r="J39" s="25"/>
    </row>
    <row r="40" spans="1:10" ht="12.75">
      <c r="A40" s="34"/>
      <c r="E40" s="27"/>
      <c r="F40" s="32"/>
      <c r="G40" s="32"/>
      <c r="H40" s="32"/>
      <c r="I40" s="32"/>
    </row>
    <row r="41" spans="1:10" ht="12.75">
      <c r="A41" s="34"/>
      <c r="B41" s="11"/>
      <c r="C41" s="11"/>
      <c r="D41" s="11"/>
      <c r="E41" s="27"/>
      <c r="F41" s="41"/>
      <c r="G41" s="41"/>
      <c r="H41" s="41"/>
      <c r="I41" s="41"/>
    </row>
    <row r="42" spans="1:10" ht="12.75">
      <c r="A42" s="34"/>
      <c r="B42" s="11"/>
      <c r="C42" s="11"/>
      <c r="D42" s="11"/>
      <c r="E42" s="27"/>
      <c r="F42" s="41"/>
      <c r="G42" s="41"/>
      <c r="H42" s="41"/>
      <c r="I42" s="41"/>
    </row>
    <row r="43" spans="1:10" ht="12.75">
      <c r="A43" s="34"/>
      <c r="B43" s="11"/>
      <c r="C43" s="11"/>
      <c r="D43" s="11"/>
      <c r="E43" s="27"/>
      <c r="F43" s="41"/>
      <c r="G43" s="41"/>
      <c r="H43" s="41"/>
      <c r="I43" s="41"/>
    </row>
    <row r="44" spans="1:10" ht="12.75">
      <c r="A44" s="34"/>
      <c r="E44" s="27"/>
      <c r="F44" s="32"/>
      <c r="G44" s="32"/>
      <c r="H44" s="32"/>
      <c r="I44" s="32"/>
    </row>
    <row r="45" spans="1:10" ht="12.75">
      <c r="A45" s="34"/>
      <c r="E45" s="27"/>
      <c r="F45" s="27"/>
      <c r="G45" s="27"/>
      <c r="H45" s="27"/>
      <c r="I45" s="27"/>
    </row>
    <row r="46" spans="1:10" ht="12.75">
      <c r="A46" s="30"/>
      <c r="B46" s="29"/>
      <c r="C46" s="29"/>
      <c r="D46" s="29"/>
      <c r="E46" s="31"/>
      <c r="F46" s="32"/>
      <c r="G46" s="32"/>
      <c r="H46" s="32"/>
      <c r="I46" s="32"/>
    </row>
  </sheetData>
  <phoneticPr fontId="0" type="noConversion"/>
  <conditionalFormatting sqref="J1:J1048576">
    <cfRule type="iconSet" priority="2">
      <iconSet iconSet="3Symbols2" showValue="0">
        <cfvo type="percent" val="0"/>
        <cfvo type="num" val="0" gte="0"/>
        <cfvo type="num" val="0" gte="0"/>
      </iconSet>
    </cfRule>
  </conditionalFormatting>
  <pageMargins left="0.74803149606299213" right="0.74803149606299213" top="0.98425196850393704" bottom="0.98425196850393704" header="0.51181102362204722" footer="0.51181102362204722"/>
  <pageSetup paperSize="9" orientation="landscape" r:id="rId1"/>
  <headerFooter alignWithMargins="0"/>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M80"/>
  <sheetViews>
    <sheetView tabSelected="1" zoomScaleNormal="100" workbookViewId="0">
      <pane xSplit="5" ySplit="1" topLeftCell="J2" activePane="bottomRight" state="frozen"/>
      <selection pane="topRight" activeCell="F1" sqref="F1"/>
      <selection pane="bottomLeft" activeCell="A2" sqref="A2"/>
      <selection pane="bottomRight" activeCell="C10" sqref="C10"/>
    </sheetView>
  </sheetViews>
  <sheetFormatPr baseColWidth="10" defaultColWidth="9.140625" defaultRowHeight="37.5" customHeight="1"/>
  <cols>
    <col min="1" max="1" width="10" style="15" customWidth="1"/>
    <col min="2" max="2" width="14.7109375" style="18" customWidth="1"/>
    <col min="3" max="3" width="11.85546875" style="18" customWidth="1"/>
    <col min="4" max="4" width="16.140625" style="23" customWidth="1"/>
    <col min="5" max="5" width="10.7109375" style="23" customWidth="1"/>
    <col min="6" max="6" width="14.140625" style="23" customWidth="1"/>
    <col min="7" max="7" width="15.140625" style="23" customWidth="1"/>
    <col min="8" max="8" width="13.7109375" style="23" customWidth="1"/>
    <col min="9" max="9" width="21.42578125" style="23" customWidth="1"/>
    <col min="10" max="10" width="21.42578125" style="35" customWidth="1"/>
    <col min="11" max="11" width="9.140625" style="13"/>
    <col min="12" max="12" width="10.85546875" style="13" customWidth="1"/>
    <col min="13" max="13" width="7.140625" style="13" customWidth="1"/>
    <col min="14" max="14" width="10.7109375" style="13" customWidth="1"/>
    <col min="15" max="15" width="7.140625" style="13" customWidth="1"/>
    <col min="16" max="16" width="9.28515625" style="13" customWidth="1"/>
    <col min="17" max="17" width="7.140625" style="13" customWidth="1"/>
    <col min="18" max="16384" width="9.140625" style="13"/>
  </cols>
  <sheetData>
    <row r="1" spans="1:13" s="20" customFormat="1" ht="68.25" customHeight="1">
      <c r="A1" s="19" t="s">
        <v>2</v>
      </c>
      <c r="B1" s="21" t="s">
        <v>14</v>
      </c>
      <c r="C1" s="21" t="s">
        <v>12</v>
      </c>
      <c r="D1" s="22" t="s">
        <v>13</v>
      </c>
      <c r="E1" s="22" t="s">
        <v>18</v>
      </c>
      <c r="F1" s="22" t="s">
        <v>19</v>
      </c>
      <c r="G1" s="22" t="s">
        <v>20</v>
      </c>
      <c r="H1" s="22" t="s">
        <v>23</v>
      </c>
      <c r="I1" s="22" t="s">
        <v>24</v>
      </c>
      <c r="J1" s="20" t="s">
        <v>22</v>
      </c>
      <c r="L1" s="37" t="s">
        <v>21</v>
      </c>
      <c r="M1" s="38">
        <f>SUMIF(Tabla2[Sprint en que se ha añadido],"",Tabla2[Estimación de puntos])</f>
        <v>159</v>
      </c>
    </row>
    <row r="2" spans="1:13" s="11" customFormat="1" ht="37.5" customHeight="1">
      <c r="A2" s="14">
        <v>1</v>
      </c>
      <c r="B2" s="30">
        <v>10</v>
      </c>
      <c r="C2" s="39">
        <v>41561</v>
      </c>
      <c r="D2" s="39">
        <v>41575</v>
      </c>
      <c r="E2" s="30">
        <f>SUMIF(Tabla2[Sprint terminado],Tabla22[[#This Row],[Sprint]],Tabla2[Estimación de puntos])</f>
        <v>4</v>
      </c>
      <c r="F2" s="30">
        <f>SUMIF(Tabla2[Sprint en que se ha añadido],Tabla22[[#This Row],[Sprint]],Tabla2[Estimación de puntos])</f>
        <v>0</v>
      </c>
      <c r="G2" s="30">
        <f>SUMIF(Tabla2[Sprint en que se ha eliminado],Tabla22[[#This Row],[Sprint]],Tabla2[Estimación de puntos])</f>
        <v>0</v>
      </c>
      <c r="H2" s="30">
        <f>Tabla22[[#This Row],[Puntos restantes respecto inicio]]-Tabla22[[#This Row],[Puntos por variación en las historias]]</f>
        <v>155</v>
      </c>
      <c r="I2" s="30">
        <f>M1-Tabla22[[#This Row],[Puntos / sprint]]</f>
        <v>155</v>
      </c>
      <c r="J2" s="27">
        <f>Tabla22[[#This Row],[Puntos eliminados]]-Tabla22[[#This Row],[Puntos añadidos]]</f>
        <v>0</v>
      </c>
    </row>
    <row r="3" spans="1:13" s="11" customFormat="1" ht="37.5" customHeight="1">
      <c r="A3" s="14">
        <v>2</v>
      </c>
      <c r="B3" s="30">
        <v>10</v>
      </c>
      <c r="C3" s="36">
        <v>41586</v>
      </c>
      <c r="D3" s="39">
        <v>41600</v>
      </c>
      <c r="E3" s="30">
        <f>SUMIF(Tabla2[Sprint terminado],Tabla22[[#This Row],[Sprint]],Tabla2[Estimación de puntos])</f>
        <v>11</v>
      </c>
      <c r="F3" s="30">
        <f>SUMIF(Tabla2[Sprint en que se ha añadido],Tabla22[[#This Row],[Sprint]],Tabla2[Estimación de puntos])</f>
        <v>0</v>
      </c>
      <c r="G3" s="30">
        <f>SUMIF(Tabla2[Sprint en que se ha eliminado],Tabla22[[#This Row],[Sprint]],Tabla2[Estimación de puntos])</f>
        <v>0</v>
      </c>
      <c r="H3" s="30">
        <f>Tabla22[[#This Row],[Puntos restantes respecto inicio]]-Tabla22[[#This Row],[Puntos por variación en las historias]]</f>
        <v>144</v>
      </c>
      <c r="I3" s="30">
        <f>I2-Tabla22[[#This Row],[Puntos / sprint]]</f>
        <v>144</v>
      </c>
      <c r="J3" s="27">
        <f>J2-Tabla22[[#This Row],[Puntos añadidos]]+Tabla22[[#This Row],[Puntos eliminados]]</f>
        <v>0</v>
      </c>
    </row>
    <row r="4" spans="1:13" s="11" customFormat="1" ht="37.5" customHeight="1">
      <c r="A4" s="14">
        <v>3</v>
      </c>
      <c r="B4" s="30">
        <v>8</v>
      </c>
      <c r="C4" s="36">
        <v>41610</v>
      </c>
      <c r="D4" s="39">
        <v>41620</v>
      </c>
      <c r="E4" s="30">
        <f>SUMIF(Tabla2[Sprint terminado],Tabla22[[#This Row],[Sprint]],Tabla2[Estimación de puntos])</f>
        <v>16</v>
      </c>
      <c r="F4" s="30">
        <f>SUMIF(Tabla2[Sprint en que se ha añadido],Tabla22[[#This Row],[Sprint]],Tabla2[Estimación de puntos])</f>
        <v>0</v>
      </c>
      <c r="G4" s="30">
        <f>SUMIF(Tabla2[Sprint en que se ha eliminado],Tabla22[[#This Row],[Sprint]],Tabla2[Estimación de puntos])</f>
        <v>0</v>
      </c>
      <c r="H4" s="30">
        <f>Tabla22[[#This Row],[Puntos restantes respecto inicio]]-Tabla22[[#This Row],[Puntos por variación en las historias]]</f>
        <v>128</v>
      </c>
      <c r="I4" s="30">
        <f>I3-Tabla22[[#This Row],[Puntos / sprint]]</f>
        <v>128</v>
      </c>
      <c r="J4" s="27">
        <f>J3-Tabla22[[#This Row],[Puntos añadidos]]+Tabla22[[#This Row],[Puntos eliminados]]</f>
        <v>0</v>
      </c>
    </row>
    <row r="5" spans="1:13" ht="37.5" customHeight="1">
      <c r="A5" s="14">
        <v>4</v>
      </c>
      <c r="B5" s="30">
        <v>12</v>
      </c>
      <c r="C5" s="36">
        <v>41625</v>
      </c>
      <c r="D5" s="40">
        <v>41656</v>
      </c>
      <c r="E5" s="30">
        <f>SUMIF(Tabla2[Sprint terminado],Tabla22[[#This Row],[Sprint]],Tabla2[Estimación de puntos])</f>
        <v>8</v>
      </c>
      <c r="F5" s="30">
        <f>SUMIF(Tabla2[Sprint en que se ha añadido],Tabla22[[#This Row],[Sprint]],Tabla2[Estimación de puntos])</f>
        <v>0</v>
      </c>
      <c r="G5" s="30">
        <f>SUMIF(Tabla2[Sprint en que se ha eliminado],Tabla22[[#This Row],[Sprint]],Tabla2[Estimación de puntos])</f>
        <v>0</v>
      </c>
      <c r="H5" s="30">
        <f>Tabla22[[#This Row],[Puntos restantes respecto inicio]]-Tabla22[[#This Row],[Puntos por variación en las historias]]</f>
        <v>120</v>
      </c>
      <c r="I5" s="30">
        <f>I4-Tabla22[[#This Row],[Puntos / sprint]]</f>
        <v>120</v>
      </c>
      <c r="J5" s="27">
        <f>J4-Tabla22[[#This Row],[Puntos añadidos]]+Tabla22[[#This Row],[Puntos eliminados]]</f>
        <v>0</v>
      </c>
    </row>
    <row r="6" spans="1:13" ht="37.5" customHeight="1">
      <c r="A6" s="14">
        <v>5</v>
      </c>
      <c r="B6" s="30">
        <v>15</v>
      </c>
      <c r="C6" s="36">
        <v>41659</v>
      </c>
      <c r="D6" s="36">
        <v>41677</v>
      </c>
      <c r="E6" s="30">
        <f>SUMIF(Tabla2[Sprint terminado],Tabla22[[#This Row],[Sprint]],Tabla2[Estimación de puntos])</f>
        <v>0</v>
      </c>
      <c r="F6" s="30">
        <f>SUMIF(Tabla2[Sprint en que se ha añadido],Tabla22[[#This Row],[Sprint]],Tabla2[Estimación de puntos])</f>
        <v>0</v>
      </c>
      <c r="G6" s="30">
        <f>SUMIF(Tabla2[Sprint en que se ha eliminado],Tabla22[[#This Row],[Sprint]],Tabla2[Estimación de puntos])</f>
        <v>0</v>
      </c>
      <c r="H6" s="30">
        <f>Tabla22[[#This Row],[Puntos restantes respecto inicio]]-Tabla22[[#This Row],[Puntos por variación en las historias]]</f>
        <v>120</v>
      </c>
      <c r="I6" s="30">
        <f>I5-Tabla22[[#This Row],[Puntos / sprint]]</f>
        <v>120</v>
      </c>
      <c r="J6" s="27">
        <f>J5-Tabla22[[#This Row],[Puntos añadidos]]+Tabla22[[#This Row],[Puntos eliminados]]</f>
        <v>0</v>
      </c>
    </row>
    <row r="7" spans="1:13" ht="37.5" customHeight="1">
      <c r="A7" s="14">
        <v>6</v>
      </c>
      <c r="B7" s="30"/>
      <c r="C7" s="36">
        <v>41677</v>
      </c>
      <c r="D7" s="36">
        <v>41694</v>
      </c>
      <c r="E7" s="30">
        <f>SUMIF(Tabla2[Sprint terminado],Tabla22[[#This Row],[Sprint]],Tabla2[Estimación de puntos])</f>
        <v>7</v>
      </c>
      <c r="F7" s="30">
        <f>SUMIF(Tabla2[Sprint en que se ha añadido],Tabla22[[#This Row],[Sprint]],Tabla2[Estimación de puntos])</f>
        <v>0</v>
      </c>
      <c r="G7" s="30">
        <f>SUMIF(Tabla2[Sprint en que se ha eliminado],Tabla22[[#This Row],[Sprint]],Tabla2[Estimación de puntos])</f>
        <v>0</v>
      </c>
      <c r="H7" s="30">
        <f>Tabla22[[#This Row],[Puntos restantes respecto inicio]]-Tabla22[[#This Row],[Puntos por variación en las historias]]</f>
        <v>113</v>
      </c>
      <c r="I7" s="30">
        <f>I6-Tabla22[[#This Row],[Puntos / sprint]]</f>
        <v>113</v>
      </c>
      <c r="J7" s="27">
        <f>J6-Tabla22[[#This Row],[Puntos añadidos]]+Tabla22[[#This Row],[Puntos eliminados]]</f>
        <v>0</v>
      </c>
    </row>
    <row r="8" spans="1:13" ht="37.5" customHeight="1">
      <c r="A8" s="14">
        <v>7</v>
      </c>
      <c r="B8" s="34"/>
      <c r="C8" s="36">
        <v>41694</v>
      </c>
      <c r="D8" s="39">
        <v>41722</v>
      </c>
      <c r="E8" s="30">
        <f>SUMIF(Tabla2[Sprint terminado],Tabla22[[#This Row],[Sprint]],Tabla2[Estimación de puntos])</f>
        <v>13</v>
      </c>
      <c r="F8" s="30">
        <f>SUMIF(Tabla2[Sprint en que se ha añadido],Tabla22[[#This Row],[Sprint]],Tabla2[Estimación de puntos])</f>
        <v>0</v>
      </c>
      <c r="G8" s="30">
        <f>SUMIF(Tabla2[Sprint en que se ha eliminado],Tabla22[[#This Row],[Sprint]],Tabla2[Estimación de puntos])</f>
        <v>0</v>
      </c>
      <c r="H8" s="30">
        <f>Tabla22[[#This Row],[Puntos restantes respecto inicio]]-Tabla22[[#This Row],[Puntos por variación en las historias]]</f>
        <v>100</v>
      </c>
      <c r="I8" s="30">
        <f>I7-Tabla22[[#This Row],[Puntos / sprint]]</f>
        <v>100</v>
      </c>
      <c r="J8" s="27">
        <f>J7-Tabla22[[#This Row],[Puntos añadidos]]+Tabla22[[#This Row],[Puntos eliminados]]</f>
        <v>0</v>
      </c>
    </row>
    <row r="9" spans="1:13" ht="37.5" customHeight="1">
      <c r="A9" s="14">
        <v>8</v>
      </c>
      <c r="B9" s="34"/>
      <c r="C9" s="36">
        <v>41694</v>
      </c>
      <c r="D9" s="39">
        <v>41750</v>
      </c>
      <c r="E9" s="30">
        <f>SUMIF(Tabla2[Sprint terminado],Tabla22[[#This Row],[Sprint]],Tabla2[Estimación de puntos])</f>
        <v>5</v>
      </c>
      <c r="F9" s="30">
        <f>SUMIF(Tabla2[Sprint en que se ha añadido],Tabla22[[#This Row],[Sprint]],Tabla2[Estimación de puntos])</f>
        <v>0</v>
      </c>
      <c r="G9" s="30">
        <f>SUMIF(Tabla2[Sprint en que se ha eliminado],Tabla22[[#This Row],[Sprint]],Tabla2[Estimación de puntos])</f>
        <v>0</v>
      </c>
      <c r="H9" s="30">
        <f>Tabla22[[#This Row],[Puntos restantes respecto inicio]]-Tabla22[[#This Row],[Puntos por variación en las historias]]</f>
        <v>95</v>
      </c>
      <c r="I9" s="30">
        <f>I8-Tabla22[[#This Row],[Puntos / sprint]]</f>
        <v>95</v>
      </c>
      <c r="J9" s="27">
        <f>J8-Tabla22[[#This Row],[Puntos añadidos]]+Tabla22[[#This Row],[Puntos eliminados]]</f>
        <v>0</v>
      </c>
    </row>
    <row r="10" spans="1:13" ht="37.5" customHeight="1">
      <c r="A10" s="14">
        <v>9</v>
      </c>
      <c r="B10" s="34"/>
      <c r="C10" s="36">
        <v>41750</v>
      </c>
      <c r="D10" s="39">
        <v>41768</v>
      </c>
      <c r="E10" s="30">
        <f>SUMIF(Tabla2[Sprint terminado],Tabla22[[#This Row],[Sprint]],Tabla2[Estimación de puntos])</f>
        <v>0</v>
      </c>
      <c r="F10" s="30">
        <f>SUMIF(Tabla2[Sprint en que se ha añadido],Tabla22[[#This Row],[Sprint]],Tabla2[Estimación de puntos])</f>
        <v>0</v>
      </c>
      <c r="G10" s="30">
        <f>SUMIF(Tabla2[Sprint en que se ha eliminado],Tabla22[[#This Row],[Sprint]],Tabla2[Estimación de puntos])</f>
        <v>0</v>
      </c>
      <c r="H10" s="30">
        <f>Tabla22[[#This Row],[Puntos restantes respecto inicio]]-Tabla22[[#This Row],[Puntos por variación en las historias]]</f>
        <v>95</v>
      </c>
      <c r="I10" s="30">
        <f>I9-Tabla22[[#This Row],[Puntos / sprint]]</f>
        <v>95</v>
      </c>
      <c r="J10" s="27">
        <f>J9-Tabla22[[#This Row],[Puntos añadidos]]+Tabla22[[#This Row],[Puntos eliminados]]</f>
        <v>0</v>
      </c>
    </row>
    <row r="11" spans="1:13" ht="37.5" customHeight="1">
      <c r="A11" s="14">
        <v>10</v>
      </c>
      <c r="B11" s="30"/>
      <c r="C11" s="36"/>
      <c r="D11" s="36"/>
      <c r="E11" s="30">
        <f>SUMIF(Tabla2[Sprint terminado],Tabla22[[#This Row],[Sprint]],Tabla2[Estimación de puntos])</f>
        <v>0</v>
      </c>
      <c r="F11" s="30">
        <f>SUMIF(Tabla2[Sprint en que se ha añadido],Tabla22[[#This Row],[Sprint]],Tabla2[Estimación de puntos])</f>
        <v>0</v>
      </c>
      <c r="G11" s="30">
        <f>SUMIF(Tabla2[Sprint en que se ha eliminado],Tabla22[[#This Row],[Sprint]],Tabla2[Estimación de puntos])</f>
        <v>0</v>
      </c>
      <c r="H11" s="30">
        <f>Tabla22[[#This Row],[Puntos restantes respecto inicio]]-Tabla22[[#This Row],[Puntos por variación en las historias]]</f>
        <v>95</v>
      </c>
      <c r="I11" s="30">
        <f>I10-Tabla22[[#This Row],[Puntos / sprint]]</f>
        <v>95</v>
      </c>
      <c r="J11" s="27">
        <f>J10-Tabla22[[#This Row],[Puntos añadidos]]+Tabla22[[#This Row],[Puntos eliminados]]</f>
        <v>0</v>
      </c>
    </row>
    <row r="12" spans="1:13" ht="37.5" customHeight="1">
      <c r="A12" s="14">
        <v>11</v>
      </c>
      <c r="B12" s="30"/>
      <c r="C12" s="36"/>
      <c r="D12" s="36"/>
      <c r="E12" s="30">
        <f>SUMIF(Tabla2[Sprint terminado],Tabla22[[#This Row],[Sprint]],Tabla2[Estimación de puntos])</f>
        <v>0</v>
      </c>
      <c r="F12" s="30">
        <f>SUMIF(Tabla2[Sprint en que se ha añadido],Tabla22[[#This Row],[Sprint]],Tabla2[Estimación de puntos])</f>
        <v>0</v>
      </c>
      <c r="G12" s="30">
        <f>SUMIF(Tabla2[Sprint en que se ha eliminado],Tabla22[[#This Row],[Sprint]],Tabla2[Estimación de puntos])</f>
        <v>0</v>
      </c>
      <c r="H12" s="30">
        <f>Tabla22[[#This Row],[Puntos restantes respecto inicio]]-Tabla22[[#This Row],[Puntos por variación en las historias]]</f>
        <v>95</v>
      </c>
      <c r="I12" s="30">
        <f>I11-Tabla22[[#This Row],[Puntos / sprint]]</f>
        <v>95</v>
      </c>
      <c r="J12" s="27">
        <f>J11-Tabla22[[#This Row],[Puntos añadidos]]+Tabla22[[#This Row],[Puntos eliminados]]</f>
        <v>0</v>
      </c>
    </row>
    <row r="13" spans="1:13" ht="37.5" customHeight="1">
      <c r="A13" s="14">
        <v>12</v>
      </c>
      <c r="B13" s="30"/>
      <c r="C13" s="36"/>
      <c r="D13" s="36"/>
      <c r="E13" s="30">
        <f>SUMIF(Tabla2[Sprint terminado],Tabla22[[#This Row],[Sprint]],Tabla2[Estimación de puntos])</f>
        <v>0</v>
      </c>
      <c r="F13" s="30">
        <f>SUMIF(Tabla2[Sprint en que se ha añadido],Tabla22[[#This Row],[Sprint]],Tabla2[Estimación de puntos])</f>
        <v>0</v>
      </c>
      <c r="G13" s="30">
        <f>SUMIF(Tabla2[Sprint en que se ha eliminado],Tabla22[[#This Row],[Sprint]],Tabla2[Estimación de puntos])</f>
        <v>0</v>
      </c>
      <c r="H13" s="30">
        <f>Tabla22[[#This Row],[Puntos restantes respecto inicio]]-Tabla22[[#This Row],[Puntos por variación en las historias]]</f>
        <v>95</v>
      </c>
      <c r="I13" s="30">
        <f>I12-Tabla22[[#This Row],[Puntos / sprint]]</f>
        <v>95</v>
      </c>
      <c r="J13" s="27">
        <f>J12-Tabla22[[#This Row],[Puntos añadidos]]+Tabla22[[#This Row],[Puntos eliminados]]</f>
        <v>0</v>
      </c>
    </row>
    <row r="14" spans="1:13" ht="37.5" customHeight="1">
      <c r="A14" s="14"/>
      <c r="B14" s="30"/>
      <c r="C14" s="30"/>
      <c r="D14" s="32"/>
      <c r="E14" s="32"/>
      <c r="F14" s="32"/>
      <c r="G14" s="32"/>
      <c r="H14" s="32"/>
      <c r="I14" s="32"/>
    </row>
    <row r="15" spans="1:13" ht="37.5" customHeight="1">
      <c r="A15" s="14"/>
      <c r="B15" s="30"/>
      <c r="C15" s="30"/>
      <c r="D15" s="32"/>
      <c r="E15" s="32"/>
      <c r="F15" s="32"/>
      <c r="G15" s="32"/>
      <c r="H15" s="32"/>
      <c r="I15" s="32"/>
    </row>
    <row r="16" spans="1:13" ht="37.5" customHeight="1">
      <c r="A16" s="14"/>
      <c r="B16" s="30"/>
      <c r="C16" s="30"/>
      <c r="D16" s="32"/>
      <c r="E16" s="32"/>
      <c r="F16" s="32"/>
      <c r="G16" s="32"/>
      <c r="H16" s="32"/>
      <c r="I16" s="32"/>
    </row>
    <row r="17" spans="1:9" ht="37.5" customHeight="1">
      <c r="A17" s="14"/>
      <c r="B17" s="30"/>
      <c r="C17" s="30"/>
      <c r="D17" s="32"/>
      <c r="E17" s="32"/>
      <c r="F17" s="32"/>
      <c r="G17" s="32"/>
      <c r="H17" s="32"/>
      <c r="I17" s="32"/>
    </row>
    <row r="18" spans="1:9" ht="37.5" customHeight="1">
      <c r="A18" s="14"/>
      <c r="B18" s="30"/>
      <c r="C18" s="30"/>
      <c r="D18" s="32"/>
      <c r="E18" s="32"/>
      <c r="F18" s="32"/>
      <c r="G18" s="32"/>
      <c r="H18" s="32"/>
      <c r="I18" s="32"/>
    </row>
    <row r="19" spans="1:9" ht="37.5" customHeight="1">
      <c r="A19" s="14"/>
      <c r="B19" s="30"/>
      <c r="C19" s="30"/>
      <c r="D19" s="32"/>
      <c r="E19" s="32"/>
      <c r="F19" s="32"/>
      <c r="G19" s="32"/>
      <c r="H19" s="32"/>
      <c r="I19" s="32"/>
    </row>
    <row r="20" spans="1:9" ht="37.5" customHeight="1">
      <c r="A20" s="14"/>
      <c r="B20" s="30"/>
      <c r="C20" s="30"/>
      <c r="D20" s="32"/>
      <c r="E20" s="32"/>
      <c r="F20" s="32"/>
      <c r="G20" s="32"/>
      <c r="H20" s="32"/>
      <c r="I20" s="32"/>
    </row>
    <row r="21" spans="1:9" ht="37.5" customHeight="1">
      <c r="A21" s="14"/>
      <c r="B21" s="30"/>
      <c r="C21" s="30"/>
      <c r="D21" s="32"/>
      <c r="E21" s="32"/>
      <c r="F21" s="32"/>
      <c r="G21" s="32"/>
      <c r="H21" s="32"/>
      <c r="I21" s="32"/>
    </row>
    <row r="22" spans="1:9" ht="37.5" customHeight="1">
      <c r="A22" s="14"/>
      <c r="B22" s="30"/>
      <c r="C22" s="30"/>
      <c r="D22" s="27"/>
      <c r="E22" s="27"/>
      <c r="F22" s="27"/>
      <c r="G22" s="27"/>
      <c r="H22" s="27"/>
      <c r="I22" s="27"/>
    </row>
    <row r="23" spans="1:9" ht="37.5" customHeight="1">
      <c r="A23" s="14"/>
      <c r="B23" s="30"/>
      <c r="C23" s="30"/>
      <c r="D23" s="27"/>
      <c r="E23" s="27"/>
      <c r="F23" s="27"/>
      <c r="G23" s="27"/>
      <c r="H23" s="27"/>
      <c r="I23" s="27"/>
    </row>
    <row r="24" spans="1:9" ht="37.5" customHeight="1">
      <c r="A24" s="14"/>
      <c r="B24" s="30"/>
      <c r="C24" s="30"/>
      <c r="D24" s="32"/>
      <c r="E24" s="32"/>
      <c r="F24" s="32"/>
      <c r="G24" s="32"/>
      <c r="H24" s="32"/>
      <c r="I24" s="32"/>
    </row>
    <row r="25" spans="1:9" ht="37.5" customHeight="1">
      <c r="A25" s="14"/>
      <c r="B25" s="30"/>
      <c r="C25" s="30"/>
      <c r="D25" s="32"/>
      <c r="E25" s="32"/>
      <c r="F25" s="32"/>
      <c r="G25" s="32"/>
      <c r="H25" s="32"/>
      <c r="I25" s="32"/>
    </row>
    <row r="26" spans="1:9" ht="37.5" customHeight="1">
      <c r="A26" s="14"/>
      <c r="B26" s="30"/>
      <c r="C26" s="30"/>
      <c r="D26" s="32"/>
      <c r="E26" s="32"/>
      <c r="F26" s="32"/>
      <c r="G26" s="32"/>
      <c r="H26" s="32"/>
      <c r="I26" s="32"/>
    </row>
    <row r="27" spans="1:9" ht="37.5" customHeight="1">
      <c r="A27" s="14"/>
      <c r="B27" s="30"/>
      <c r="C27" s="30"/>
      <c r="D27" s="32"/>
      <c r="E27" s="32"/>
      <c r="F27" s="32"/>
      <c r="G27" s="32"/>
      <c r="H27" s="32"/>
      <c r="I27" s="32"/>
    </row>
    <row r="28" spans="1:9" ht="37.5" customHeight="1">
      <c r="A28" s="14"/>
      <c r="B28" s="30"/>
      <c r="C28" s="30"/>
      <c r="D28" s="32"/>
      <c r="E28" s="32"/>
      <c r="F28" s="32"/>
      <c r="G28" s="32"/>
      <c r="H28" s="32"/>
      <c r="I28" s="32"/>
    </row>
    <row r="29" spans="1:9" ht="37.5" customHeight="1">
      <c r="A29" s="14"/>
      <c r="B29" s="30"/>
      <c r="C29" s="30"/>
      <c r="D29" s="32"/>
      <c r="E29" s="32"/>
      <c r="F29" s="32"/>
      <c r="G29" s="32"/>
      <c r="H29" s="32"/>
      <c r="I29" s="32"/>
    </row>
    <row r="30" spans="1:9" ht="37.5" customHeight="1">
      <c r="A30" s="14"/>
      <c r="B30" s="30"/>
      <c r="C30" s="30"/>
      <c r="D30" s="32"/>
      <c r="E30" s="32"/>
      <c r="F30" s="32"/>
      <c r="G30" s="32"/>
      <c r="H30" s="32"/>
      <c r="I30" s="32"/>
    </row>
    <row r="31" spans="1:9" ht="37.5" customHeight="1">
      <c r="A31" s="14"/>
      <c r="B31" s="30"/>
      <c r="C31" s="30"/>
      <c r="D31" s="32"/>
      <c r="E31" s="32"/>
      <c r="F31" s="32"/>
      <c r="G31" s="32"/>
      <c r="H31" s="32"/>
      <c r="I31" s="32"/>
    </row>
    <row r="32" spans="1:9" ht="37.5" customHeight="1">
      <c r="A32" s="14"/>
      <c r="B32" s="30"/>
      <c r="C32" s="30"/>
      <c r="D32" s="32"/>
      <c r="E32" s="32"/>
      <c r="F32" s="32"/>
      <c r="G32" s="32"/>
      <c r="H32" s="32"/>
      <c r="I32" s="32"/>
    </row>
    <row r="33" spans="1:9" ht="37.5" customHeight="1">
      <c r="A33" s="14"/>
      <c r="B33" s="30"/>
      <c r="C33" s="30"/>
      <c r="D33" s="32"/>
      <c r="E33" s="32"/>
      <c r="F33" s="32"/>
      <c r="G33" s="32"/>
      <c r="H33" s="32"/>
      <c r="I33" s="32"/>
    </row>
    <row r="34" spans="1:9" ht="37.5" customHeight="1">
      <c r="A34" s="14"/>
      <c r="B34" s="30"/>
      <c r="C34" s="30"/>
      <c r="D34" s="32"/>
      <c r="E34" s="32"/>
      <c r="F34" s="32"/>
      <c r="G34" s="32"/>
      <c r="H34" s="32"/>
      <c r="I34" s="32"/>
    </row>
    <row r="35" spans="1:9" ht="37.5" customHeight="1">
      <c r="A35" s="14"/>
      <c r="B35" s="30"/>
      <c r="C35" s="30"/>
      <c r="D35" s="32"/>
      <c r="E35" s="32"/>
      <c r="F35" s="32"/>
      <c r="G35" s="32"/>
      <c r="H35" s="32"/>
      <c r="I35" s="32"/>
    </row>
    <row r="36" spans="1:9" ht="37.5" customHeight="1">
      <c r="A36" s="14"/>
      <c r="B36" s="30"/>
      <c r="C36" s="30"/>
      <c r="D36" s="32"/>
      <c r="E36" s="32"/>
      <c r="F36" s="32"/>
      <c r="G36" s="32"/>
      <c r="H36" s="32"/>
      <c r="I36" s="32"/>
    </row>
    <row r="37" spans="1:9" ht="37.5" customHeight="1">
      <c r="A37" s="14"/>
      <c r="B37" s="34"/>
      <c r="C37" s="34"/>
      <c r="D37" s="27"/>
      <c r="E37" s="27"/>
      <c r="F37" s="27"/>
      <c r="G37" s="27"/>
      <c r="H37" s="27"/>
      <c r="I37" s="27"/>
    </row>
    <row r="38" spans="1:9" ht="37.5" customHeight="1">
      <c r="A38" s="14"/>
      <c r="B38" s="34"/>
      <c r="C38" s="34"/>
      <c r="D38" s="27"/>
      <c r="E38" s="27"/>
      <c r="F38" s="27"/>
      <c r="G38" s="27"/>
      <c r="H38" s="27"/>
      <c r="I38" s="27"/>
    </row>
    <row r="39" spans="1:9" ht="37.5" customHeight="1">
      <c r="A39" s="14"/>
      <c r="B39" s="30"/>
      <c r="C39" s="30"/>
      <c r="D39" s="18"/>
      <c r="E39" s="18"/>
      <c r="F39" s="18"/>
      <c r="G39" s="18"/>
      <c r="H39" s="18"/>
      <c r="I39" s="18"/>
    </row>
    <row r="40" spans="1:9" ht="37.5" customHeight="1">
      <c r="A40" s="14"/>
      <c r="B40" s="34"/>
      <c r="C40" s="34"/>
      <c r="D40" s="18"/>
      <c r="E40" s="18"/>
      <c r="F40" s="18"/>
      <c r="G40" s="18"/>
      <c r="H40" s="18"/>
      <c r="I40" s="18"/>
    </row>
    <row r="41" spans="1:9" ht="37.5" customHeight="1">
      <c r="A41" s="14"/>
      <c r="B41" s="30"/>
      <c r="C41" s="30"/>
      <c r="D41" s="18"/>
      <c r="E41" s="18"/>
      <c r="F41" s="18"/>
      <c r="G41" s="18"/>
      <c r="H41" s="18"/>
      <c r="I41" s="18"/>
    </row>
    <row r="42" spans="1:9" ht="37.5" customHeight="1">
      <c r="A42" s="14"/>
      <c r="B42" s="34"/>
      <c r="C42" s="34"/>
      <c r="D42" s="27"/>
      <c r="E42" s="27"/>
      <c r="F42" s="27"/>
      <c r="G42" s="27"/>
      <c r="H42" s="27"/>
      <c r="I42" s="27"/>
    </row>
    <row r="43" spans="1:9" ht="37.5" customHeight="1">
      <c r="A43" s="14"/>
      <c r="B43" s="30"/>
      <c r="C43" s="30"/>
      <c r="D43" s="18"/>
      <c r="E43" s="18"/>
      <c r="F43" s="18"/>
      <c r="G43" s="18"/>
      <c r="H43" s="18"/>
      <c r="I43" s="18"/>
    </row>
    <row r="44" spans="1:9" ht="37.5" customHeight="1">
      <c r="A44" s="14"/>
      <c r="B44" s="34"/>
      <c r="C44" s="34"/>
      <c r="D44" s="18"/>
      <c r="E44" s="18"/>
      <c r="F44" s="18"/>
      <c r="G44" s="18"/>
      <c r="H44" s="18"/>
      <c r="I44" s="18"/>
    </row>
    <row r="45" spans="1:9" ht="37.5" customHeight="1">
      <c r="A45" s="14"/>
      <c r="B45" s="30"/>
      <c r="C45" s="30"/>
      <c r="D45" s="18"/>
      <c r="E45" s="18"/>
      <c r="F45" s="18"/>
      <c r="G45" s="18"/>
      <c r="H45" s="18"/>
      <c r="I45" s="18"/>
    </row>
    <row r="46" spans="1:9" ht="37.5" customHeight="1">
      <c r="A46" s="14"/>
      <c r="B46" s="34"/>
      <c r="C46" s="34"/>
      <c r="D46" s="18"/>
      <c r="E46" s="18"/>
      <c r="F46" s="18"/>
      <c r="G46" s="18"/>
      <c r="H46" s="18"/>
      <c r="I46" s="18"/>
    </row>
    <row r="47" spans="1:9" ht="37.5" customHeight="1">
      <c r="A47" s="14"/>
      <c r="B47" s="30"/>
      <c r="C47" s="30"/>
      <c r="D47" s="18"/>
      <c r="E47" s="18"/>
      <c r="F47" s="18"/>
      <c r="G47" s="18"/>
      <c r="H47" s="18"/>
      <c r="I47" s="18"/>
    </row>
    <row r="48" spans="1:9" ht="37.5" customHeight="1">
      <c r="A48" s="14"/>
      <c r="B48" s="34"/>
      <c r="C48" s="34"/>
      <c r="D48" s="18"/>
      <c r="E48" s="18"/>
      <c r="F48" s="18"/>
      <c r="G48" s="18"/>
      <c r="H48" s="18"/>
      <c r="I48" s="18"/>
    </row>
    <row r="49" spans="1:10" ht="37.5" customHeight="1">
      <c r="A49" s="14"/>
      <c r="B49" s="30"/>
      <c r="C49" s="30"/>
      <c r="D49" s="27"/>
      <c r="E49" s="27"/>
      <c r="F49" s="27"/>
      <c r="G49" s="27"/>
      <c r="H49" s="27"/>
      <c r="I49" s="27"/>
    </row>
    <row r="50" spans="1:10" ht="37.5" customHeight="1">
      <c r="A50" s="14"/>
      <c r="B50" s="34"/>
      <c r="C50" s="34"/>
      <c r="D50" s="18"/>
      <c r="E50" s="18"/>
      <c r="F50" s="18"/>
      <c r="G50" s="18"/>
      <c r="H50" s="18"/>
      <c r="I50" s="18"/>
    </row>
    <row r="51" spans="1:10" ht="37.5" customHeight="1">
      <c r="A51" s="14"/>
      <c r="B51" s="30"/>
      <c r="C51" s="30"/>
      <c r="D51" s="18"/>
      <c r="E51" s="18"/>
      <c r="F51" s="18"/>
      <c r="G51" s="18"/>
      <c r="H51" s="18"/>
      <c r="I51" s="18"/>
    </row>
    <row r="52" spans="1:10" s="25" customFormat="1" ht="37.5" customHeight="1">
      <c r="A52" s="14"/>
      <c r="B52" s="34"/>
      <c r="C52" s="34"/>
      <c r="D52" s="23"/>
      <c r="E52" s="23"/>
      <c r="F52" s="23"/>
      <c r="G52" s="23"/>
      <c r="H52" s="23"/>
      <c r="I52" s="23"/>
      <c r="J52" s="35"/>
    </row>
    <row r="53" spans="1:10" s="25" customFormat="1" ht="37.5" customHeight="1">
      <c r="A53" s="14"/>
      <c r="B53" s="30"/>
      <c r="C53" s="30"/>
      <c r="D53" s="18"/>
      <c r="E53" s="18"/>
      <c r="F53" s="18"/>
      <c r="G53" s="18"/>
      <c r="H53" s="18"/>
      <c r="I53" s="18"/>
      <c r="J53" s="35"/>
    </row>
    <row r="54" spans="1:10" s="25" customFormat="1" ht="37.5" customHeight="1">
      <c r="A54" s="14"/>
      <c r="B54" s="34"/>
      <c r="C54" s="34"/>
      <c r="D54" s="18"/>
      <c r="E54" s="18"/>
      <c r="F54" s="18"/>
      <c r="G54" s="18"/>
      <c r="H54" s="18"/>
      <c r="I54" s="18"/>
      <c r="J54" s="35"/>
    </row>
    <row r="55" spans="1:10" s="25" customFormat="1" ht="37.5" customHeight="1">
      <c r="A55" s="14"/>
      <c r="B55" s="30"/>
      <c r="C55" s="30"/>
      <c r="D55" s="18"/>
      <c r="E55" s="18"/>
      <c r="F55" s="18"/>
      <c r="G55" s="18"/>
      <c r="H55" s="18"/>
      <c r="I55" s="18"/>
      <c r="J55" s="35"/>
    </row>
    <row r="56" spans="1:10" s="25" customFormat="1" ht="37.5" customHeight="1">
      <c r="A56" s="14"/>
      <c r="B56" s="34"/>
      <c r="C56" s="34"/>
      <c r="D56" s="18"/>
      <c r="E56" s="18"/>
      <c r="F56" s="18"/>
      <c r="G56" s="18"/>
      <c r="H56" s="18"/>
      <c r="I56" s="18"/>
      <c r="J56" s="35"/>
    </row>
    <row r="57" spans="1:10" s="25" customFormat="1" ht="37.5" customHeight="1">
      <c r="A57" s="14"/>
      <c r="B57" s="30"/>
      <c r="C57" s="30"/>
      <c r="D57" s="18"/>
      <c r="E57" s="18"/>
      <c r="F57" s="18"/>
      <c r="G57" s="18"/>
      <c r="H57" s="18"/>
      <c r="I57" s="18"/>
      <c r="J57" s="35"/>
    </row>
    <row r="58" spans="1:10" s="25" customFormat="1" ht="37.5" customHeight="1">
      <c r="A58" s="14"/>
      <c r="B58" s="34"/>
      <c r="C58" s="34"/>
      <c r="D58" s="18"/>
      <c r="E58" s="18"/>
      <c r="F58" s="18"/>
      <c r="G58" s="18"/>
      <c r="H58" s="18"/>
      <c r="I58" s="18"/>
      <c r="J58" s="35"/>
    </row>
    <row r="59" spans="1:10" s="25" customFormat="1" ht="37.5" customHeight="1">
      <c r="A59" s="14"/>
      <c r="B59" s="30"/>
      <c r="C59" s="30"/>
      <c r="D59" s="18"/>
      <c r="E59" s="18"/>
      <c r="F59" s="18"/>
      <c r="G59" s="18"/>
      <c r="H59" s="18"/>
      <c r="I59" s="18"/>
      <c r="J59" s="35"/>
    </row>
    <row r="60" spans="1:10" s="25" customFormat="1" ht="37.5" customHeight="1">
      <c r="A60" s="14"/>
      <c r="B60" s="34"/>
      <c r="C60" s="34"/>
      <c r="D60" s="18"/>
      <c r="E60" s="18"/>
      <c r="F60" s="18"/>
      <c r="G60" s="18"/>
      <c r="H60" s="18"/>
      <c r="I60" s="18"/>
      <c r="J60" s="35"/>
    </row>
    <row r="61" spans="1:10" s="25" customFormat="1" ht="37.5" customHeight="1">
      <c r="A61" s="14"/>
      <c r="B61" s="30"/>
      <c r="C61" s="30"/>
      <c r="D61" s="27"/>
      <c r="E61" s="27"/>
      <c r="F61" s="27"/>
      <c r="G61" s="27"/>
      <c r="H61" s="27"/>
      <c r="I61" s="27"/>
      <c r="J61" s="35"/>
    </row>
    <row r="62" spans="1:10" s="25" customFormat="1" ht="37.5" customHeight="1">
      <c r="A62" s="14"/>
      <c r="B62" s="34"/>
      <c r="C62" s="34"/>
      <c r="D62" s="27"/>
      <c r="E62" s="27"/>
      <c r="F62" s="27"/>
      <c r="G62" s="27"/>
      <c r="H62" s="27"/>
      <c r="I62" s="27"/>
      <c r="J62" s="35"/>
    </row>
    <row r="63" spans="1:10" s="25" customFormat="1" ht="37.5" customHeight="1">
      <c r="A63" s="14"/>
      <c r="B63" s="30"/>
      <c r="C63" s="30"/>
      <c r="D63" s="27"/>
      <c r="E63" s="27"/>
      <c r="F63" s="27"/>
      <c r="G63" s="27"/>
      <c r="H63" s="27"/>
      <c r="I63" s="27"/>
      <c r="J63" s="35"/>
    </row>
    <row r="64" spans="1:10" s="25" customFormat="1" ht="37.5" customHeight="1">
      <c r="A64" s="14"/>
      <c r="B64" s="34"/>
      <c r="C64" s="34"/>
      <c r="D64" s="18"/>
      <c r="E64" s="18"/>
      <c r="F64" s="18"/>
      <c r="G64" s="18"/>
      <c r="H64" s="18"/>
      <c r="I64" s="18"/>
      <c r="J64" s="35"/>
    </row>
    <row r="65" spans="1:10" s="25" customFormat="1" ht="37.5" customHeight="1">
      <c r="A65" s="14"/>
      <c r="B65" s="30"/>
      <c r="C65" s="30"/>
      <c r="D65" s="27"/>
      <c r="E65" s="27"/>
      <c r="F65" s="27"/>
      <c r="G65" s="27"/>
      <c r="H65" s="27"/>
      <c r="I65" s="27"/>
      <c r="J65" s="35"/>
    </row>
    <row r="66" spans="1:10" s="25" customFormat="1" ht="37.5" customHeight="1">
      <c r="A66" s="14"/>
      <c r="B66" s="34"/>
      <c r="C66" s="34"/>
      <c r="D66" s="27"/>
      <c r="E66" s="27"/>
      <c r="F66" s="27"/>
      <c r="G66" s="27"/>
      <c r="H66" s="27"/>
      <c r="I66" s="27"/>
      <c r="J66" s="35"/>
    </row>
    <row r="67" spans="1:10" s="25" customFormat="1" ht="37.5" customHeight="1">
      <c r="A67" s="14"/>
      <c r="B67" s="30"/>
      <c r="C67" s="30"/>
      <c r="D67" s="27"/>
      <c r="E67" s="27"/>
      <c r="F67" s="27"/>
      <c r="G67" s="27"/>
      <c r="H67" s="27"/>
      <c r="I67" s="27"/>
      <c r="J67" s="35"/>
    </row>
    <row r="68" spans="1:10" ht="37.5" customHeight="1">
      <c r="A68" s="14"/>
      <c r="B68" s="34"/>
      <c r="C68" s="34"/>
      <c r="D68" s="27"/>
      <c r="E68" s="27"/>
      <c r="F68" s="27"/>
      <c r="G68" s="27"/>
      <c r="H68" s="27"/>
      <c r="I68" s="27"/>
    </row>
    <row r="69" spans="1:10" ht="37.5" customHeight="1">
      <c r="A69" s="14"/>
      <c r="B69" s="30"/>
      <c r="C69" s="30"/>
      <c r="D69" s="18"/>
      <c r="E69" s="18"/>
      <c r="F69" s="18"/>
      <c r="G69" s="18"/>
      <c r="H69" s="18"/>
      <c r="I69" s="18"/>
    </row>
    <row r="70" spans="1:10" ht="37.5" customHeight="1">
      <c r="A70" s="14"/>
      <c r="B70" s="34"/>
      <c r="C70" s="34"/>
      <c r="D70" s="27"/>
      <c r="E70" s="27"/>
      <c r="F70" s="27"/>
      <c r="G70" s="27"/>
      <c r="H70" s="27"/>
      <c r="I70" s="27"/>
    </row>
    <row r="71" spans="1:10" ht="37.5" customHeight="1">
      <c r="A71" s="14"/>
      <c r="B71" s="30"/>
      <c r="C71" s="30"/>
      <c r="D71" s="27"/>
      <c r="E71" s="27"/>
      <c r="F71" s="27"/>
      <c r="G71" s="27"/>
      <c r="H71" s="27"/>
      <c r="I71" s="27"/>
    </row>
    <row r="72" spans="1:10" ht="37.5" customHeight="1">
      <c r="A72" s="14"/>
      <c r="B72" s="34"/>
      <c r="C72" s="34"/>
      <c r="D72" s="27"/>
      <c r="E72" s="27"/>
      <c r="F72" s="27"/>
      <c r="G72" s="27"/>
      <c r="H72" s="27"/>
      <c r="I72" s="27"/>
    </row>
    <row r="73" spans="1:10" ht="37.5" customHeight="1">
      <c r="A73" s="14"/>
      <c r="B73" s="30"/>
      <c r="C73" s="30"/>
      <c r="D73" s="27"/>
      <c r="E73" s="27"/>
      <c r="F73" s="27"/>
      <c r="G73" s="27"/>
      <c r="H73" s="27"/>
      <c r="I73" s="27"/>
    </row>
    <row r="74" spans="1:10" ht="37.5" customHeight="1">
      <c r="A74" s="14"/>
      <c r="B74" s="34"/>
      <c r="C74" s="34"/>
      <c r="D74" s="27"/>
      <c r="E74" s="27"/>
      <c r="F74" s="27"/>
      <c r="G74" s="27"/>
      <c r="H74" s="27"/>
      <c r="I74" s="27"/>
    </row>
    <row r="75" spans="1:10" ht="37.5" customHeight="1">
      <c r="A75" s="14"/>
      <c r="B75" s="30"/>
      <c r="C75" s="30"/>
    </row>
    <row r="76" spans="1:10" ht="37.5" customHeight="1">
      <c r="A76" s="14"/>
      <c r="B76" s="34"/>
      <c r="C76" s="34"/>
      <c r="D76" s="31"/>
      <c r="E76" s="31"/>
      <c r="F76" s="31"/>
      <c r="G76" s="31"/>
      <c r="H76" s="31"/>
      <c r="I76" s="31"/>
    </row>
    <row r="77" spans="1:10" ht="37.5" customHeight="1">
      <c r="A77" s="14"/>
      <c r="B77" s="30"/>
      <c r="C77" s="30"/>
      <c r="D77" s="31"/>
      <c r="E77" s="31"/>
      <c r="F77" s="31"/>
      <c r="G77" s="31"/>
      <c r="H77" s="31"/>
      <c r="I77" s="31"/>
    </row>
    <row r="78" spans="1:10" ht="37.5" customHeight="1">
      <c r="A78" s="14"/>
      <c r="B78" s="34"/>
      <c r="C78" s="34"/>
      <c r="D78" s="31"/>
      <c r="E78" s="31"/>
      <c r="F78" s="31"/>
      <c r="G78" s="31"/>
      <c r="H78" s="31"/>
      <c r="I78" s="31"/>
    </row>
    <row r="79" spans="1:10" ht="37.5" customHeight="1">
      <c r="A79" s="28"/>
      <c r="B79" s="30"/>
      <c r="C79" s="30"/>
      <c r="D79" s="31"/>
      <c r="E79" s="31"/>
      <c r="F79" s="31"/>
      <c r="G79" s="31"/>
      <c r="H79" s="31"/>
      <c r="I79" s="31"/>
    </row>
    <row r="80" spans="1:10" ht="37.5" customHeight="1">
      <c r="A80" s="28"/>
      <c r="B80" s="30"/>
      <c r="C80" s="30"/>
      <c r="D80" s="31"/>
      <c r="E80" s="31"/>
      <c r="F80" s="31"/>
      <c r="G80" s="31"/>
      <c r="H80" s="31"/>
      <c r="I80" s="31"/>
    </row>
  </sheetData>
  <pageMargins left="0.74803149606299213" right="0.74803149606299213" top="0.98425196850393704" bottom="0.98425196850393704" header="0.51181102362204722" footer="0.51181102362204722"/>
  <pageSetup paperSize="9" orientation="landscape" r:id="rId1"/>
  <headerFooter alignWithMargins="0"/>
  <drawing r:id="rId2"/>
  <tableParts count="1">
    <tablePart r:id="rId3"/>
  </tableParts>
</worksheet>
</file>

<file path=xl/worksheets/sheet4.xml><?xml version="1.0" encoding="utf-8"?>
<worksheet xmlns="http://schemas.openxmlformats.org/spreadsheetml/2006/main" xmlns:r="http://schemas.openxmlformats.org/officeDocument/2006/relationships">
  <dimension ref="A1:E31"/>
  <sheetViews>
    <sheetView zoomScaleNormal="100" workbookViewId="0"/>
  </sheetViews>
  <sheetFormatPr baseColWidth="10" defaultColWidth="9.140625" defaultRowHeight="12.75"/>
  <cols>
    <col min="1" max="1" width="3.5703125" customWidth="1"/>
    <col min="2" max="2" width="59" customWidth="1"/>
    <col min="3" max="3" width="3.140625" customWidth="1"/>
    <col min="4" max="4" width="13.28515625" bestFit="1" customWidth="1"/>
    <col min="5" max="5" width="2" customWidth="1"/>
  </cols>
  <sheetData>
    <row r="1" spans="1:5">
      <c r="A1" s="2"/>
      <c r="B1" s="3"/>
      <c r="C1" s="3"/>
      <c r="D1" s="3"/>
      <c r="E1" s="4"/>
    </row>
    <row r="2" spans="1:5" ht="13.5" thickBot="1">
      <c r="A2" s="5"/>
      <c r="B2" s="1"/>
      <c r="C2" s="1"/>
      <c r="D2" s="1" t="s">
        <v>0</v>
      </c>
      <c r="E2" s="6"/>
    </row>
    <row r="3" spans="1:5" ht="71.25" customHeight="1" thickBot="1">
      <c r="A3" s="5"/>
      <c r="B3" s="12" t="s">
        <v>97</v>
      </c>
      <c r="C3" s="1"/>
      <c r="D3" s="17">
        <v>9754</v>
      </c>
      <c r="E3" s="6"/>
    </row>
    <row r="4" spans="1:5" ht="21" customHeight="1" thickBot="1">
      <c r="A4" s="5"/>
      <c r="B4" s="1" t="s">
        <v>3</v>
      </c>
      <c r="C4" s="1"/>
      <c r="D4" s="1" t="s">
        <v>1</v>
      </c>
      <c r="E4" s="6"/>
    </row>
    <row r="5" spans="1:5" ht="71.25" customHeight="1" thickBot="1">
      <c r="A5" s="5"/>
      <c r="B5" s="46" t="s">
        <v>98</v>
      </c>
      <c r="C5" s="1"/>
      <c r="D5" s="16">
        <v>8</v>
      </c>
      <c r="E5" s="6"/>
    </row>
    <row r="6" spans="1:5" ht="153.75" customHeight="1" thickBot="1">
      <c r="A6" s="5"/>
      <c r="B6" s="47"/>
      <c r="C6" s="1"/>
      <c r="D6" s="1"/>
      <c r="E6" s="6"/>
    </row>
    <row r="7" spans="1:5" ht="19.5" customHeight="1" thickBot="1">
      <c r="A7" s="5"/>
      <c r="B7" s="26" t="s">
        <v>4</v>
      </c>
      <c r="C7" s="1"/>
      <c r="D7" s="1"/>
      <c r="E7" s="6"/>
    </row>
    <row r="8" spans="1:5" ht="334.5" customHeight="1" thickBot="1">
      <c r="A8" s="5"/>
      <c r="B8" s="10" t="s">
        <v>99</v>
      </c>
      <c r="C8" s="1"/>
      <c r="D8" s="1"/>
      <c r="E8" s="6"/>
    </row>
    <row r="9" spans="1:5" ht="16.5" customHeight="1" thickBot="1">
      <c r="A9" s="7"/>
      <c r="B9" s="8"/>
      <c r="C9" s="8"/>
      <c r="D9" s="8"/>
      <c r="E9" s="9"/>
    </row>
    <row r="11" spans="1:5" ht="13.5" thickBot="1"/>
    <row r="12" spans="1:5">
      <c r="A12" s="2"/>
      <c r="B12" s="3"/>
      <c r="C12" s="3"/>
      <c r="D12" s="3"/>
      <c r="E12" s="4"/>
    </row>
    <row r="13" spans="1:5" ht="13.5" thickBot="1">
      <c r="A13" s="5"/>
      <c r="B13" s="1"/>
      <c r="C13" s="1"/>
      <c r="D13" s="1" t="s">
        <v>0</v>
      </c>
      <c r="E13" s="6"/>
    </row>
    <row r="14" spans="1:5" ht="71.25" customHeight="1" thickBot="1">
      <c r="A14" s="5"/>
      <c r="B14" s="12" t="s">
        <v>38</v>
      </c>
      <c r="C14" s="1"/>
      <c r="D14" s="17">
        <v>9750</v>
      </c>
      <c r="E14" s="6"/>
    </row>
    <row r="15" spans="1:5" ht="21" customHeight="1" thickBot="1">
      <c r="A15" s="5"/>
      <c r="B15" s="1" t="s">
        <v>3</v>
      </c>
      <c r="C15" s="1"/>
      <c r="D15" s="1" t="s">
        <v>1</v>
      </c>
      <c r="E15" s="6"/>
    </row>
    <row r="16" spans="1:5" ht="71.25" customHeight="1" thickBot="1">
      <c r="A16" s="5"/>
      <c r="B16" s="46" t="s">
        <v>39</v>
      </c>
      <c r="C16" s="1"/>
      <c r="D16" s="16">
        <v>8</v>
      </c>
      <c r="E16" s="6"/>
    </row>
    <row r="17" spans="1:5" ht="153.75" customHeight="1" thickBot="1">
      <c r="A17" s="5"/>
      <c r="B17" s="47"/>
      <c r="C17" s="1"/>
      <c r="D17" s="1"/>
      <c r="E17" s="6"/>
    </row>
    <row r="18" spans="1:5" ht="19.5" customHeight="1" thickBot="1">
      <c r="A18" s="5"/>
      <c r="B18" s="26" t="s">
        <v>4</v>
      </c>
      <c r="C18" s="1"/>
      <c r="D18" s="1"/>
      <c r="E18" s="6"/>
    </row>
    <row r="19" spans="1:5" ht="334.5" customHeight="1" thickBot="1">
      <c r="A19" s="5"/>
      <c r="B19" s="10" t="s">
        <v>96</v>
      </c>
      <c r="C19" s="1"/>
      <c r="D19" s="1"/>
      <c r="E19" s="6"/>
    </row>
    <row r="20" spans="1:5" ht="16.5" customHeight="1" thickBot="1">
      <c r="A20" s="7"/>
      <c r="B20" s="8"/>
      <c r="C20" s="8"/>
      <c r="D20" s="8"/>
      <c r="E20" s="9"/>
    </row>
    <row r="22" spans="1:5" ht="13.5" thickBot="1"/>
    <row r="23" spans="1:5">
      <c r="A23" s="2"/>
      <c r="B23" s="3"/>
      <c r="C23" s="3"/>
      <c r="D23" s="3"/>
      <c r="E23" s="4"/>
    </row>
    <row r="24" spans="1:5" ht="13.5" thickBot="1">
      <c r="A24" s="5"/>
      <c r="B24" s="1"/>
      <c r="C24" s="1"/>
      <c r="D24" s="1" t="s">
        <v>0</v>
      </c>
      <c r="E24" s="6"/>
    </row>
    <row r="25" spans="1:5" ht="71.25" customHeight="1" thickBot="1">
      <c r="A25" s="5"/>
      <c r="B25" s="12" t="s">
        <v>54</v>
      </c>
      <c r="C25" s="1"/>
      <c r="D25" s="17">
        <v>9670</v>
      </c>
      <c r="E25" s="6"/>
    </row>
    <row r="26" spans="1:5" ht="21" customHeight="1" thickBot="1">
      <c r="A26" s="5"/>
      <c r="B26" s="1" t="s">
        <v>3</v>
      </c>
      <c r="C26" s="1"/>
      <c r="D26" s="1" t="s">
        <v>1</v>
      </c>
      <c r="E26" s="6"/>
    </row>
    <row r="27" spans="1:5" ht="71.25" customHeight="1" thickBot="1">
      <c r="A27" s="5"/>
      <c r="B27" s="46" t="s">
        <v>49</v>
      </c>
      <c r="C27" s="1"/>
      <c r="D27" s="16">
        <v>5</v>
      </c>
      <c r="E27" s="6"/>
    </row>
    <row r="28" spans="1:5" ht="153.75" customHeight="1" thickBot="1">
      <c r="A28" s="5"/>
      <c r="B28" s="47"/>
      <c r="C28" s="1"/>
      <c r="D28" s="1"/>
      <c r="E28" s="6"/>
    </row>
    <row r="29" spans="1:5" ht="19.5" customHeight="1" thickBot="1">
      <c r="A29" s="5"/>
      <c r="B29" s="26" t="s">
        <v>4</v>
      </c>
      <c r="C29" s="1"/>
      <c r="D29" s="1"/>
      <c r="E29" s="6"/>
    </row>
    <row r="30" spans="1:5" ht="334.5" customHeight="1" thickBot="1">
      <c r="A30" s="5"/>
      <c r="B30" s="10" t="s">
        <v>50</v>
      </c>
      <c r="C30" s="1"/>
      <c r="D30" s="1"/>
      <c r="E30" s="6"/>
    </row>
    <row r="31" spans="1:5" ht="16.5" customHeight="1" thickBot="1">
      <c r="A31" s="7"/>
      <c r="B31" s="8"/>
      <c r="C31" s="8"/>
      <c r="D31" s="8"/>
      <c r="E31" s="9"/>
    </row>
  </sheetData>
  <mergeCells count="3">
    <mergeCell ref="B5:B6"/>
    <mergeCell ref="B16:B17"/>
    <mergeCell ref="B27:B28"/>
  </mergeCells>
  <pageMargins left="0.7" right="0.7" top="0.75" bottom="0.75" header="0.3" footer="0.3"/>
  <pageSetup paperSize="9" orientation="portrait" r:id="rId1"/>
  <rowBreaks count="2" manualBreakCount="2">
    <brk id="11" max="16383" man="1"/>
    <brk id="22" max="16383" man="1"/>
  </rowBreaks>
</worksheet>
</file>

<file path=xl/worksheets/sheet5.xml><?xml version="1.0" encoding="utf-8"?>
<worksheet xmlns="http://schemas.openxmlformats.org/spreadsheetml/2006/main" xmlns:r="http://schemas.openxmlformats.org/officeDocument/2006/relationships">
  <sheetPr codeName="Sheet2"/>
  <dimension ref="A1:E9"/>
  <sheetViews>
    <sheetView zoomScaleNormal="100" workbookViewId="0">
      <selection sqref="A1:XFD10"/>
    </sheetView>
  </sheetViews>
  <sheetFormatPr baseColWidth="10" defaultColWidth="9.140625" defaultRowHeight="12.75"/>
  <cols>
    <col min="1" max="1" width="3.5703125" customWidth="1"/>
    <col min="2" max="2" width="59" customWidth="1"/>
    <col min="3" max="3" width="3.140625" customWidth="1"/>
    <col min="4" max="4" width="13.28515625" bestFit="1" customWidth="1"/>
    <col min="5" max="5" width="2" customWidth="1"/>
  </cols>
  <sheetData>
    <row r="1" spans="1:5">
      <c r="A1" s="2"/>
      <c r="B1" s="3"/>
      <c r="C1" s="3"/>
      <c r="D1" s="3"/>
      <c r="E1" s="4"/>
    </row>
    <row r="2" spans="1:5" ht="13.5" thickBot="1">
      <c r="A2" s="5"/>
      <c r="B2" s="1"/>
      <c r="C2" s="1"/>
      <c r="D2" s="1" t="s">
        <v>0</v>
      </c>
      <c r="E2" s="6"/>
    </row>
    <row r="3" spans="1:5" ht="71.25" customHeight="1" thickBot="1">
      <c r="A3" s="5"/>
      <c r="B3" s="12" t="s">
        <v>7</v>
      </c>
      <c r="C3" s="1"/>
      <c r="D3" s="17">
        <v>0</v>
      </c>
      <c r="E3" s="6"/>
    </row>
    <row r="4" spans="1:5" ht="21" customHeight="1" thickBot="1">
      <c r="A4" s="5"/>
      <c r="B4" s="1" t="s">
        <v>3</v>
      </c>
      <c r="C4" s="1"/>
      <c r="D4" s="1" t="s">
        <v>1</v>
      </c>
      <c r="E4" s="6"/>
    </row>
    <row r="5" spans="1:5" ht="71.25" customHeight="1" thickBot="1">
      <c r="A5" s="5"/>
      <c r="B5" s="46" t="s">
        <v>5</v>
      </c>
      <c r="C5" s="1"/>
      <c r="D5" s="16">
        <v>0</v>
      </c>
      <c r="E5" s="6"/>
    </row>
    <row r="6" spans="1:5" ht="153.75" customHeight="1" thickBot="1">
      <c r="A6" s="5"/>
      <c r="B6" s="47"/>
      <c r="C6" s="1"/>
      <c r="D6" s="1"/>
      <c r="E6" s="6"/>
    </row>
    <row r="7" spans="1:5" ht="19.5" customHeight="1" thickBot="1">
      <c r="A7" s="5"/>
      <c r="B7" s="26" t="s">
        <v>4</v>
      </c>
      <c r="C7" s="1"/>
      <c r="D7" s="1"/>
      <c r="E7" s="6"/>
    </row>
    <row r="8" spans="1:5" ht="334.5" customHeight="1" thickBot="1">
      <c r="A8" s="5"/>
      <c r="B8" s="10" t="s">
        <v>6</v>
      </c>
      <c r="C8" s="1"/>
      <c r="D8" s="1"/>
      <c r="E8" s="6"/>
    </row>
    <row r="9" spans="1:5" ht="16.5" customHeight="1" thickBot="1">
      <c r="A9" s="7"/>
      <c r="B9" s="8"/>
      <c r="C9" s="8"/>
      <c r="D9" s="8"/>
      <c r="E9" s="9"/>
    </row>
  </sheetData>
  <mergeCells count="1">
    <mergeCell ref="B5:B6"/>
  </mergeCells>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README</vt:lpstr>
      <vt:lpstr>BACKLOG</vt:lpstr>
      <vt:lpstr>STATISTICS</vt:lpstr>
      <vt:lpstr>CARDS</vt:lpstr>
      <vt:lpstr>TEMPLATE</vt:lpstr>
      <vt:lpstr>BACKLOG!Área_de_impresión</vt:lpstr>
      <vt:lpstr>STATISTICS!Área_de_impresión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Nijenhuis</dc:creator>
  <cp:lastModifiedBy>ialejo</cp:lastModifiedBy>
  <cp:lastPrinted>2014-03-26T12:36:25Z</cp:lastPrinted>
  <dcterms:created xsi:type="dcterms:W3CDTF">2007-08-23T17:44:31Z</dcterms:created>
  <dcterms:modified xsi:type="dcterms:W3CDTF">2014-04-23T11:32:55Z</dcterms:modified>
</cp:coreProperties>
</file>